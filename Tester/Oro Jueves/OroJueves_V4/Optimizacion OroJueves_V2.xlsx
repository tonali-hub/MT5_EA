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as\MT5_1\MQL5\Experts\Tester\Oro Jueves\OroJueves_V4\"/>
    </mc:Choice>
  </mc:AlternateContent>
  <xr:revisionPtr revIDLastSave="0" documentId="13_ncr:1_{023CFD7F-1EE8-4E0D-9B44-6CA5DB0B126E}" xr6:coauthVersionLast="47" xr6:coauthVersionMax="47" xr10:uidLastSave="{00000000-0000-0000-0000-000000000000}"/>
  <bookViews>
    <workbookView xWindow="-120" yWindow="-120" windowWidth="21840" windowHeight="13140" activeTab="1" xr2:uid="{86AEECD1-EC80-43D6-BB1D-31C47B397153}"/>
  </bookViews>
  <sheets>
    <sheet name="Ruta" sheetId="2" r:id="rId1"/>
    <sheet name="Tester Optimizator Results" sheetId="1" r:id="rId2"/>
  </sheets>
  <definedNames>
    <definedName name="_xlnm._FilterDatabase" localSheetId="1" hidden="1">'Tester Optimizator Results'!$A$1:$O$49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E6" i="1"/>
  <c r="F6" i="1" s="1"/>
  <c r="E17" i="1"/>
  <c r="F17" i="1" s="1"/>
  <c r="E8" i="1"/>
  <c r="F8" i="1" s="1"/>
  <c r="E7" i="1"/>
  <c r="F7" i="1" s="1"/>
  <c r="E9" i="1"/>
  <c r="F9" i="1" s="1"/>
  <c r="E15" i="1"/>
  <c r="F15" i="1" s="1"/>
  <c r="E10" i="1"/>
  <c r="F10" i="1"/>
  <c r="E12" i="1"/>
  <c r="F12" i="1" s="1"/>
  <c r="E11" i="1"/>
  <c r="F11" i="1" s="1"/>
  <c r="E13" i="1"/>
  <c r="F13" i="1" s="1"/>
  <c r="E18" i="1"/>
  <c r="F18" i="1"/>
  <c r="E14" i="1"/>
  <c r="F14" i="1" s="1"/>
  <c r="E16" i="1"/>
  <c r="F16" i="1" s="1"/>
  <c r="E25" i="1"/>
  <c r="F25" i="1" s="1"/>
  <c r="E19" i="1"/>
  <c r="F19" i="1"/>
  <c r="E30" i="1"/>
  <c r="F30" i="1" s="1"/>
  <c r="E26" i="1"/>
  <c r="F26" i="1" s="1"/>
  <c r="E20" i="1"/>
  <c r="F20" i="1" s="1"/>
  <c r="E33" i="1"/>
  <c r="F33" i="1"/>
  <c r="E24" i="1"/>
  <c r="F24" i="1" s="1"/>
  <c r="E29" i="1"/>
  <c r="F29" i="1" s="1"/>
  <c r="E37" i="1"/>
  <c r="F37" i="1" s="1"/>
  <c r="E23" i="1"/>
  <c r="F23" i="1"/>
  <c r="E22" i="1"/>
  <c r="F22" i="1" s="1"/>
  <c r="E42" i="1"/>
  <c r="F42" i="1" s="1"/>
  <c r="E21" i="1"/>
  <c r="F21" i="1" s="1"/>
  <c r="E28" i="1"/>
  <c r="F28" i="1"/>
  <c r="E34" i="1"/>
  <c r="F34" i="1" s="1"/>
  <c r="E31" i="1"/>
  <c r="F31" i="1" s="1"/>
  <c r="E44" i="1"/>
  <c r="F44" i="1" s="1"/>
  <c r="E27" i="1"/>
  <c r="F27" i="1"/>
  <c r="E32" i="1"/>
  <c r="F32" i="1" s="1"/>
  <c r="E47" i="1"/>
  <c r="F47" i="1" s="1"/>
  <c r="E41" i="1"/>
  <c r="F41" i="1" s="1"/>
  <c r="E40" i="1"/>
  <c r="F40" i="1"/>
  <c r="E45" i="1"/>
  <c r="F45" i="1" s="1"/>
  <c r="E36" i="1"/>
  <c r="F36" i="1" s="1"/>
  <c r="E35" i="1"/>
  <c r="F35" i="1" s="1"/>
  <c r="E39" i="1"/>
  <c r="F39" i="1"/>
  <c r="E38" i="1"/>
  <c r="F38" i="1" s="1"/>
  <c r="E43" i="1"/>
  <c r="F43" i="1" s="1"/>
  <c r="E49" i="1"/>
  <c r="F49" i="1" s="1"/>
  <c r="E48" i="1"/>
  <c r="F48" i="1"/>
  <c r="E46" i="1"/>
  <c r="F46" i="1" s="1"/>
  <c r="E2" i="1"/>
  <c r="F2" i="1" s="1"/>
  <c r="E3" i="1"/>
  <c r="F3" i="1" s="1"/>
  <c r="E4" i="1"/>
  <c r="F4" i="1" s="1"/>
</calcChain>
</file>

<file path=xl/sharedStrings.xml><?xml version="1.0" encoding="utf-8"?>
<sst xmlns="http://schemas.openxmlformats.org/spreadsheetml/2006/main" count="21" uniqueCount="20">
  <si>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</si>
  <si>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</si>
  <si>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</si>
  <si>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</si>
  <si>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</si>
  <si>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</si>
  <si>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</si>
  <si>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</si>
  <si>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</si>
  <si>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</si>
  <si>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InpVentanaAperturaHora</t>
  </si>
  <si>
    <t>InpVentanaAperturaMin</t>
  </si>
  <si>
    <t/>
  </si>
  <si>
    <t>Hora</t>
  </si>
  <si>
    <t>Ratio</t>
  </si>
  <si>
    <t>BE</t>
  </si>
  <si>
    <t>MG</t>
  </si>
  <si>
    <t>Capital</t>
  </si>
  <si>
    <t>% Earnings</t>
  </si>
  <si>
    <t>%/DD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</si>
</sst>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9" formatCode="_-&quot;$&quot;* #,##0.00_-;\-&quot;$&quot;* #,##0.00_-;_-&quot;$&quot;* &quot;-&quot;??_-;_-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E598"/>
        <bgColor rgb="FFFFE598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/>
    <xf numFmtId="0" fontId="0" fillId="33" borderId="0" xfId="0" applyFill="1"/>
    <xf numFmtId="169" fontId="18" fillId="34" borderId="0" xfId="0" applyNumberFormat="1" applyFont="1" applyFill="1"/>
    <xf numFmtId="0" fontId="18" fillId="34" borderId="0" xfId="0" applyFont="1" applyFill="1"/>
    <xf numFmtId="2" fontId="0" fillId="0" borderId="0" xfId="0" applyNumberFormat="1"/>
    <xf numFmtId="164" fontId="0" fillId="0" borderId="0" xfId="0" applyNumberFormat="1"/>
    <xf numFmtId="2" fontId="0" fillId="33" borderId="0" xfId="0" applyNumberFormat="1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768F-A014-432C-90EE-363536DD1730}">
  <dimension ref="A2:B5"/>
  <sheetViews>
    <sheetView workbookViewId="0">
      <selection activeCell="A6" sqref="A6"/>
    </sheetView>
  </sheetViews>
  <sheetFormatPr baseColWidth="10" defaultRowHeight="15" x14ac:dyDescent="0.25"/>
  <sheetData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D1E5-592B-4E8D-936D-895428D472EE}">
  <sheetPr filterMode="1"/>
  <dimension ref="A1:O49"/>
  <sheetViews>
    <sheetView tabSelected="1" workbookViewId="0">
      <selection activeCell="N4" sqref="N4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s="5" t="s">
        <v>17</v>
      </c>
      <c r="E1" s="6" t="s">
        <v>18</v>
      </c>
      <c r="F1" s="6" t="s">
        <v>19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hidden="1" x14ac:dyDescent="0.25">
      <c r="A2">
        <v>45</v>
      </c>
      <c r="B2" s="3">
        <v>0</v>
      </c>
      <c r="C2" s="1">
        <v>0</v>
      </c>
      <c r="D2" s="1">
        <v>10000</v>
      </c>
      <c r="E2" s="1">
        <f>C2/D2</f>
        <v>0</v>
      </c>
      <c r="F2" s="1" t="e">
        <f>E2/L2</f>
        <v>#DIV/0!</v>
      </c>
      <c r="G2" s="3">
        <v>0</v>
      </c>
      <c r="H2" s="3" t="s">
        <v>12</v>
      </c>
      <c r="I2" s="3">
        <v>0</v>
      </c>
      <c r="J2" s="3">
        <v>0</v>
      </c>
      <c r="K2">
        <v>0</v>
      </c>
      <c r="L2" s="1">
        <v>0</v>
      </c>
      <c r="M2">
        <v>0</v>
      </c>
      <c r="N2">
        <v>21</v>
      </c>
      <c r="O2">
        <v>30</v>
      </c>
    </row>
    <row r="3" spans="1:15" hidden="1" x14ac:dyDescent="0.25">
      <c r="A3">
        <v>21</v>
      </c>
      <c r="B3" s="3">
        <v>0</v>
      </c>
      <c r="C3" s="1">
        <v>0</v>
      </c>
      <c r="D3" s="7">
        <v>10000</v>
      </c>
      <c r="E3" s="7">
        <f>C3/D3</f>
        <v>0</v>
      </c>
      <c r="F3" s="7" t="e">
        <f>E3/L3</f>
        <v>#DIV/0!</v>
      </c>
      <c r="G3" s="3">
        <v>0</v>
      </c>
      <c r="H3" s="3" t="s">
        <v>12</v>
      </c>
      <c r="I3" s="3">
        <v>0</v>
      </c>
      <c r="J3" s="3">
        <v>0</v>
      </c>
      <c r="K3">
        <v>0</v>
      </c>
      <c r="L3" s="1">
        <v>0</v>
      </c>
      <c r="M3">
        <v>0</v>
      </c>
      <c r="N3">
        <v>21</v>
      </c>
      <c r="O3">
        <v>0</v>
      </c>
    </row>
    <row r="4" spans="1:15" x14ac:dyDescent="0.25">
      <c r="A4" s="4">
        <v>5</v>
      </c>
      <c r="B4" s="9">
        <v>75.19</v>
      </c>
      <c r="C4" s="9">
        <v>6088.41</v>
      </c>
      <c r="D4" s="9">
        <v>10000</v>
      </c>
      <c r="E4" s="9">
        <f>C4/D4</f>
        <v>0.60884099999999997</v>
      </c>
      <c r="F4" s="9">
        <f>E4/L4</f>
        <v>4.489845432288133E-2</v>
      </c>
      <c r="G4" s="10">
        <v>7.9173080000000002</v>
      </c>
      <c r="H4" s="10">
        <v>1.1482349999999999</v>
      </c>
      <c r="I4" s="10">
        <v>3.0150939999999999</v>
      </c>
      <c r="J4" s="10">
        <v>2.4867620000000001</v>
      </c>
      <c r="K4" s="4">
        <v>0</v>
      </c>
      <c r="L4" s="9">
        <v>13.5604</v>
      </c>
      <c r="M4" s="4">
        <v>769</v>
      </c>
      <c r="N4" s="4">
        <v>5</v>
      </c>
      <c r="O4" s="4">
        <v>0</v>
      </c>
    </row>
    <row r="5" spans="1:15" x14ac:dyDescent="0.25">
      <c r="A5" s="4">
        <v>10</v>
      </c>
      <c r="B5" s="9">
        <v>69.900000000000006</v>
      </c>
      <c r="C5" s="9">
        <v>4886.9399999999996</v>
      </c>
      <c r="D5" s="9">
        <v>10000</v>
      </c>
      <c r="E5" s="9">
        <f>C5/D5</f>
        <v>0.48869399999999996</v>
      </c>
      <c r="F5" s="9">
        <f>E5/L5</f>
        <v>3.0409951338502317E-2</v>
      </c>
      <c r="G5" s="10">
        <v>6.3466750000000003</v>
      </c>
      <c r="H5" s="10">
        <v>1.1172789999999999</v>
      </c>
      <c r="I5" s="10">
        <v>2.747757</v>
      </c>
      <c r="J5" s="10">
        <v>2.1035279999999998</v>
      </c>
      <c r="K5" s="4">
        <v>0</v>
      </c>
      <c r="L5" s="9">
        <v>16.0702</v>
      </c>
      <c r="M5" s="4">
        <v>770</v>
      </c>
      <c r="N5" s="4">
        <v>10</v>
      </c>
      <c r="O5" s="4">
        <v>0</v>
      </c>
    </row>
    <row r="6" spans="1:15" x14ac:dyDescent="0.25">
      <c r="A6">
        <v>29</v>
      </c>
      <c r="B6" s="1">
        <v>47.72</v>
      </c>
      <c r="C6" s="1">
        <v>3721.3</v>
      </c>
      <c r="D6" s="7">
        <v>10000</v>
      </c>
      <c r="E6" s="7">
        <f>C6/D6</f>
        <v>0.37213000000000002</v>
      </c>
      <c r="F6" s="7">
        <f>E6/L6</f>
        <v>2.0576379711699559E-2</v>
      </c>
      <c r="G6" s="2">
        <v>4.8454430000000004</v>
      </c>
      <c r="H6" s="2">
        <v>1.0882309999999999</v>
      </c>
      <c r="I6" s="2">
        <v>1.6950289999999999</v>
      </c>
      <c r="J6" s="2">
        <v>1.391286</v>
      </c>
      <c r="K6">
        <v>0</v>
      </c>
      <c r="L6" s="1">
        <v>18.0853</v>
      </c>
      <c r="M6">
        <v>768</v>
      </c>
      <c r="N6">
        <v>5</v>
      </c>
      <c r="O6">
        <v>30</v>
      </c>
    </row>
    <row r="7" spans="1:15" x14ac:dyDescent="0.25">
      <c r="A7">
        <v>28</v>
      </c>
      <c r="B7" s="1">
        <v>35.92</v>
      </c>
      <c r="C7" s="1">
        <v>3913</v>
      </c>
      <c r="D7" s="7">
        <v>10000</v>
      </c>
      <c r="E7" s="7">
        <f>C7/D7</f>
        <v>0.39129999999999998</v>
      </c>
      <c r="F7" s="7">
        <f>E7/L7</f>
        <v>1.7519588090441011E-2</v>
      </c>
      <c r="G7" s="2">
        <v>5.0818180000000002</v>
      </c>
      <c r="H7" s="2">
        <v>1.0926959999999999</v>
      </c>
      <c r="I7" s="2">
        <v>1.1722969999999999</v>
      </c>
      <c r="J7" s="2">
        <v>1.5754250000000001</v>
      </c>
      <c r="K7">
        <v>0</v>
      </c>
      <c r="L7" s="1">
        <v>22.335000000000001</v>
      </c>
      <c r="M7">
        <v>770</v>
      </c>
      <c r="N7">
        <v>4</v>
      </c>
      <c r="O7">
        <v>30</v>
      </c>
    </row>
    <row r="8" spans="1:15" x14ac:dyDescent="0.25">
      <c r="A8">
        <v>34</v>
      </c>
      <c r="B8" s="1">
        <v>37.14</v>
      </c>
      <c r="C8" s="1">
        <v>2544.71</v>
      </c>
      <c r="D8" s="7">
        <v>10000</v>
      </c>
      <c r="E8" s="7">
        <f>C8/D8</f>
        <v>0.254471</v>
      </c>
      <c r="F8" s="7">
        <f>E8/L8</f>
        <v>1.3799421930837767E-2</v>
      </c>
      <c r="G8" s="2">
        <v>3.300532</v>
      </c>
      <c r="H8" s="2">
        <v>1.059272</v>
      </c>
      <c r="I8" s="2">
        <v>1.2649680000000001</v>
      </c>
      <c r="J8" s="2">
        <v>1.1058760000000001</v>
      </c>
      <c r="K8">
        <v>0</v>
      </c>
      <c r="L8" s="1">
        <v>18.4407</v>
      </c>
      <c r="M8">
        <v>771</v>
      </c>
      <c r="N8">
        <v>10</v>
      </c>
      <c r="O8">
        <v>30</v>
      </c>
    </row>
    <row r="9" spans="1:15" x14ac:dyDescent="0.25">
      <c r="A9">
        <v>6</v>
      </c>
      <c r="B9" s="1">
        <v>24.8</v>
      </c>
      <c r="C9" s="1">
        <v>2273.3000000000002</v>
      </c>
      <c r="D9" s="7">
        <v>10000</v>
      </c>
      <c r="E9" s="7">
        <f>C9/D9</f>
        <v>0.22733000000000003</v>
      </c>
      <c r="F9" s="7">
        <f>E9/L9</f>
        <v>1.0085088637694533E-2</v>
      </c>
      <c r="G9" s="2">
        <v>2.9523380000000001</v>
      </c>
      <c r="H9" s="2">
        <v>1.052875</v>
      </c>
      <c r="I9" s="2">
        <v>0.82235999999999998</v>
      </c>
      <c r="J9" s="2">
        <v>0.90065499999999998</v>
      </c>
      <c r="K9">
        <v>0</v>
      </c>
      <c r="L9" s="1">
        <v>22.5412</v>
      </c>
      <c r="M9">
        <v>770</v>
      </c>
      <c r="N9">
        <v>6</v>
      </c>
      <c r="O9">
        <v>0</v>
      </c>
    </row>
    <row r="10" spans="1:15" x14ac:dyDescent="0.25">
      <c r="A10">
        <v>3</v>
      </c>
      <c r="B10" s="1">
        <v>22.59</v>
      </c>
      <c r="C10" s="1">
        <v>2318.34</v>
      </c>
      <c r="D10" s="7">
        <v>10000</v>
      </c>
      <c r="E10" s="7">
        <f>C10/D10</f>
        <v>0.23183400000000001</v>
      </c>
      <c r="F10" s="7">
        <f>E10/L10</f>
        <v>9.7816538612457756E-3</v>
      </c>
      <c r="G10" s="2">
        <v>3.018672</v>
      </c>
      <c r="H10" s="2">
        <v>1.054079</v>
      </c>
      <c r="I10" s="2">
        <v>0.76312899999999995</v>
      </c>
      <c r="J10" s="2">
        <v>0.83565800000000001</v>
      </c>
      <c r="K10">
        <v>0</v>
      </c>
      <c r="L10" s="1">
        <v>23.700900000000001</v>
      </c>
      <c r="M10">
        <v>768</v>
      </c>
      <c r="N10">
        <v>3</v>
      </c>
      <c r="O10">
        <v>0</v>
      </c>
    </row>
    <row r="11" spans="1:15" x14ac:dyDescent="0.25">
      <c r="A11">
        <v>30</v>
      </c>
      <c r="B11" s="1">
        <v>21.25</v>
      </c>
      <c r="C11" s="1">
        <v>2640.85</v>
      </c>
      <c r="D11" s="7">
        <v>10000</v>
      </c>
      <c r="E11" s="7">
        <f>C11/D11</f>
        <v>0.26408500000000001</v>
      </c>
      <c r="F11" s="7">
        <f>E11/L11</f>
        <v>8.591231306260147E-3</v>
      </c>
      <c r="G11" s="2">
        <v>3.425227</v>
      </c>
      <c r="H11" s="2">
        <v>1.061599</v>
      </c>
      <c r="I11" s="2">
        <v>0.61484899999999998</v>
      </c>
      <c r="J11" s="2">
        <v>1.0887150000000001</v>
      </c>
      <c r="K11">
        <v>0</v>
      </c>
      <c r="L11" s="1">
        <v>30.738900000000001</v>
      </c>
      <c r="M11">
        <v>771</v>
      </c>
      <c r="N11">
        <v>6</v>
      </c>
      <c r="O11">
        <v>30</v>
      </c>
    </row>
    <row r="12" spans="1:15" x14ac:dyDescent="0.25">
      <c r="A12">
        <v>12</v>
      </c>
      <c r="B12" s="1">
        <v>22.02</v>
      </c>
      <c r="C12" s="1">
        <v>2297.6</v>
      </c>
      <c r="D12" s="7">
        <v>10000</v>
      </c>
      <c r="E12" s="7">
        <f>C12/D12</f>
        <v>0.22975999999999999</v>
      </c>
      <c r="F12" s="7">
        <f>E12/L12</f>
        <v>8.433447487327439E-3</v>
      </c>
      <c r="G12" s="2">
        <v>2.9684750000000002</v>
      </c>
      <c r="H12" s="2">
        <v>1.053156</v>
      </c>
      <c r="I12" s="2">
        <v>0.75363999999999998</v>
      </c>
      <c r="J12" s="2">
        <v>1.074481</v>
      </c>
      <c r="K12">
        <v>0</v>
      </c>
      <c r="L12" s="1">
        <v>27.2439</v>
      </c>
      <c r="M12">
        <v>774</v>
      </c>
      <c r="N12">
        <v>12</v>
      </c>
      <c r="O12">
        <v>0</v>
      </c>
    </row>
    <row r="13" spans="1:15" x14ac:dyDescent="0.25">
      <c r="A13">
        <v>33</v>
      </c>
      <c r="B13" s="1">
        <v>19.84</v>
      </c>
      <c r="C13" s="1">
        <v>1913.15</v>
      </c>
      <c r="D13" s="7">
        <v>10000</v>
      </c>
      <c r="E13" s="7">
        <f>C13/D13</f>
        <v>0.19131500000000001</v>
      </c>
      <c r="F13" s="7">
        <f>E13/L13</f>
        <v>7.4706449710842723E-3</v>
      </c>
      <c r="G13" s="2">
        <v>2.4813879999999999</v>
      </c>
      <c r="H13" s="2">
        <v>1.0442720000000001</v>
      </c>
      <c r="I13" s="2">
        <v>0.63076600000000005</v>
      </c>
      <c r="J13" s="2">
        <v>0.779528</v>
      </c>
      <c r="K13">
        <v>0</v>
      </c>
      <c r="L13" s="1">
        <v>25.608899999999998</v>
      </c>
      <c r="M13">
        <v>771</v>
      </c>
      <c r="N13">
        <v>9</v>
      </c>
      <c r="O13">
        <v>30</v>
      </c>
    </row>
    <row r="14" spans="1:15" x14ac:dyDescent="0.25">
      <c r="A14">
        <v>1</v>
      </c>
      <c r="B14" s="1">
        <v>18.45</v>
      </c>
      <c r="C14" s="1">
        <v>1307.81</v>
      </c>
      <c r="D14" s="7">
        <v>10000</v>
      </c>
      <c r="E14" s="7">
        <f>C14/D14</f>
        <v>0.13078100000000001</v>
      </c>
      <c r="F14" s="7">
        <f>E14/L14</f>
        <v>5.3346032730179974E-3</v>
      </c>
      <c r="G14" s="2">
        <v>1.6962520000000001</v>
      </c>
      <c r="H14" s="2">
        <v>1.0300260000000001</v>
      </c>
      <c r="I14" s="2">
        <v>0.48325000000000001</v>
      </c>
      <c r="J14" s="2">
        <v>0.43323800000000001</v>
      </c>
      <c r="K14">
        <v>0</v>
      </c>
      <c r="L14" s="1">
        <v>24.515599999999999</v>
      </c>
      <c r="M14">
        <v>771</v>
      </c>
      <c r="N14">
        <v>1</v>
      </c>
      <c r="O14">
        <v>0</v>
      </c>
    </row>
    <row r="15" spans="1:15" x14ac:dyDescent="0.25">
      <c r="A15">
        <v>11</v>
      </c>
      <c r="B15" s="1">
        <v>23.03</v>
      </c>
      <c r="C15" s="1">
        <v>1051.96</v>
      </c>
      <c r="D15" s="7">
        <v>10000</v>
      </c>
      <c r="E15" s="7">
        <f>C15/D15</f>
        <v>0.105196</v>
      </c>
      <c r="F15" s="7">
        <f>E15/L15</f>
        <v>4.927305429609923E-3</v>
      </c>
      <c r="G15" s="2">
        <v>1.359121</v>
      </c>
      <c r="H15" s="2">
        <v>1.0239959999999999</v>
      </c>
      <c r="I15" s="2">
        <v>0.43324200000000002</v>
      </c>
      <c r="J15" s="2">
        <v>0.50184600000000001</v>
      </c>
      <c r="K15">
        <v>0</v>
      </c>
      <c r="L15" s="1">
        <v>21.349599999999999</v>
      </c>
      <c r="M15">
        <v>774</v>
      </c>
      <c r="N15">
        <v>11</v>
      </c>
      <c r="O15">
        <v>0</v>
      </c>
    </row>
    <row r="16" spans="1:15" x14ac:dyDescent="0.25">
      <c r="A16">
        <v>7</v>
      </c>
      <c r="B16" s="1">
        <v>16.760000000000002</v>
      </c>
      <c r="C16" s="1">
        <v>1727.51</v>
      </c>
      <c r="D16" s="7">
        <v>10000</v>
      </c>
      <c r="E16" s="7">
        <f>C16/D16</f>
        <v>0.17275099999999999</v>
      </c>
      <c r="F16" s="7">
        <f>E16/L16</f>
        <v>3.8400631300501259E-3</v>
      </c>
      <c r="G16" s="2">
        <v>2.2348119999999998</v>
      </c>
      <c r="H16" s="2">
        <v>1.0397650000000001</v>
      </c>
      <c r="I16" s="2">
        <v>0.30243599999999998</v>
      </c>
      <c r="J16" s="2">
        <v>0.66724099999999997</v>
      </c>
      <c r="K16">
        <v>0</v>
      </c>
      <c r="L16" s="1">
        <v>44.986499999999999</v>
      </c>
      <c r="M16">
        <v>773</v>
      </c>
      <c r="N16">
        <v>7</v>
      </c>
      <c r="O16">
        <v>0</v>
      </c>
    </row>
    <row r="17" spans="1:15" x14ac:dyDescent="0.25">
      <c r="A17">
        <v>22</v>
      </c>
      <c r="B17" s="1">
        <v>41.32</v>
      </c>
      <c r="C17" s="1">
        <v>279.63</v>
      </c>
      <c r="D17" s="7">
        <v>10000</v>
      </c>
      <c r="E17" s="7">
        <f>C17/D17</f>
        <v>2.7962999999999998E-2</v>
      </c>
      <c r="F17" s="7">
        <f>E17/L17</f>
        <v>2.4706007085869785E-3</v>
      </c>
      <c r="G17" s="2">
        <v>4.1735819999999997</v>
      </c>
      <c r="H17" s="2">
        <v>1.075542</v>
      </c>
      <c r="I17" s="2">
        <v>0.23796500000000001</v>
      </c>
      <c r="J17" s="2">
        <v>1.177136</v>
      </c>
      <c r="K17">
        <v>0</v>
      </c>
      <c r="L17" s="1">
        <v>11.318300000000001</v>
      </c>
      <c r="M17">
        <v>67</v>
      </c>
      <c r="N17">
        <v>22</v>
      </c>
      <c r="O17">
        <v>0</v>
      </c>
    </row>
    <row r="18" spans="1:15" x14ac:dyDescent="0.25">
      <c r="A18">
        <v>18</v>
      </c>
      <c r="B18" s="1">
        <v>18.739999999999998</v>
      </c>
      <c r="C18" s="1">
        <v>424.35</v>
      </c>
      <c r="D18" s="7">
        <v>10000</v>
      </c>
      <c r="E18" s="7">
        <f>C18/D18</f>
        <v>4.2435E-2</v>
      </c>
      <c r="F18" s="7">
        <f>E18/L18</f>
        <v>1.6565171565757113E-3</v>
      </c>
      <c r="G18" s="2">
        <v>0.56205300000000002</v>
      </c>
      <c r="H18" s="2">
        <v>1.0099340000000001</v>
      </c>
      <c r="I18" s="2">
        <v>0.13467799999999999</v>
      </c>
      <c r="J18" s="2">
        <v>0.14152200000000001</v>
      </c>
      <c r="K18">
        <v>0</v>
      </c>
      <c r="L18" s="1">
        <v>25.617000000000001</v>
      </c>
      <c r="M18">
        <v>755</v>
      </c>
      <c r="N18">
        <v>18</v>
      </c>
      <c r="O18">
        <v>0</v>
      </c>
    </row>
    <row r="19" spans="1:15" x14ac:dyDescent="0.25">
      <c r="A19">
        <v>38</v>
      </c>
      <c r="B19" s="1">
        <v>15.08</v>
      </c>
      <c r="C19" s="1">
        <v>139.04</v>
      </c>
      <c r="D19" s="7">
        <v>10000</v>
      </c>
      <c r="E19" s="7">
        <f>C19/D19</f>
        <v>1.3904E-2</v>
      </c>
      <c r="F19" s="7">
        <f>E19/L19</f>
        <v>4.6499495006922754E-4</v>
      </c>
      <c r="G19" s="2">
        <v>0.18104200000000001</v>
      </c>
      <c r="H19" s="2">
        <v>1.003166</v>
      </c>
      <c r="I19" s="2">
        <v>3.9469999999999998E-2</v>
      </c>
      <c r="J19" s="2">
        <v>5.1166000000000003E-2</v>
      </c>
      <c r="K19">
        <v>0</v>
      </c>
      <c r="L19" s="1">
        <v>29.901399999999999</v>
      </c>
      <c r="M19">
        <v>768</v>
      </c>
      <c r="N19">
        <v>14</v>
      </c>
      <c r="O19">
        <v>30</v>
      </c>
    </row>
    <row r="20" spans="1:15" x14ac:dyDescent="0.25">
      <c r="A20">
        <v>16</v>
      </c>
      <c r="B20" s="1">
        <v>14.33</v>
      </c>
      <c r="C20" s="1">
        <v>-1094.6400000000001</v>
      </c>
      <c r="D20" s="7">
        <v>10000</v>
      </c>
      <c r="E20" s="7">
        <f>C20/D20</f>
        <v>-0.10946400000000001</v>
      </c>
      <c r="F20" s="7">
        <f>E20/L20</f>
        <v>-2.3259529981726236E-3</v>
      </c>
      <c r="G20" s="2">
        <v>-1.42161</v>
      </c>
      <c r="H20" s="2">
        <v>0.97548699999999999</v>
      </c>
      <c r="I20" s="2">
        <v>-0.21376100000000001</v>
      </c>
      <c r="J20" s="2">
        <v>-0.30211500000000002</v>
      </c>
      <c r="K20">
        <v>0</v>
      </c>
      <c r="L20" s="1">
        <v>47.061999999999998</v>
      </c>
      <c r="M20">
        <v>770</v>
      </c>
      <c r="N20">
        <v>16</v>
      </c>
      <c r="O20">
        <v>0</v>
      </c>
    </row>
    <row r="21" spans="1:15" x14ac:dyDescent="0.25">
      <c r="A21">
        <v>9</v>
      </c>
      <c r="B21" s="1">
        <v>11.89</v>
      </c>
      <c r="C21" s="1">
        <v>-1329.95</v>
      </c>
      <c r="D21" s="7">
        <v>10000</v>
      </c>
      <c r="E21" s="7">
        <f>C21/D21</f>
        <v>-0.132995</v>
      </c>
      <c r="F21" s="7">
        <f>E21/L21</f>
        <v>-2.7413849255263447E-3</v>
      </c>
      <c r="G21" s="2">
        <v>-1.729454</v>
      </c>
      <c r="H21" s="2">
        <v>0.97026699999999999</v>
      </c>
      <c r="I21" s="2">
        <v>-0.245009</v>
      </c>
      <c r="J21" s="2">
        <v>-0.52509099999999997</v>
      </c>
      <c r="K21">
        <v>0</v>
      </c>
      <c r="L21" s="1">
        <v>48.513800000000003</v>
      </c>
      <c r="M21">
        <v>769</v>
      </c>
      <c r="N21">
        <v>9</v>
      </c>
      <c r="O21">
        <v>0</v>
      </c>
    </row>
    <row r="22" spans="1:15" x14ac:dyDescent="0.25">
      <c r="A22">
        <v>37</v>
      </c>
      <c r="B22" s="1">
        <v>12.44</v>
      </c>
      <c r="C22" s="1">
        <v>-1137.78</v>
      </c>
      <c r="D22" s="7">
        <v>10000</v>
      </c>
      <c r="E22" s="7">
        <f>C22/D22</f>
        <v>-0.113778</v>
      </c>
      <c r="F22" s="7">
        <f>E22/L22</f>
        <v>-3.0452703534588435E-3</v>
      </c>
      <c r="G22" s="2">
        <v>-1.473808</v>
      </c>
      <c r="H22" s="2">
        <v>0.97460400000000003</v>
      </c>
      <c r="I22" s="2">
        <v>-0.27510899999999999</v>
      </c>
      <c r="J22" s="2">
        <v>-0.51889099999999999</v>
      </c>
      <c r="K22">
        <v>0</v>
      </c>
      <c r="L22" s="1">
        <v>37.362200000000001</v>
      </c>
      <c r="M22">
        <v>772</v>
      </c>
      <c r="N22">
        <v>13</v>
      </c>
      <c r="O22">
        <v>30</v>
      </c>
    </row>
    <row r="23" spans="1:15" x14ac:dyDescent="0.25">
      <c r="A23">
        <v>4</v>
      </c>
      <c r="B23" s="1">
        <v>12.47</v>
      </c>
      <c r="C23" s="1">
        <v>-963.45</v>
      </c>
      <c r="D23" s="7">
        <v>10000</v>
      </c>
      <c r="E23" s="7">
        <f>C23/D23</f>
        <v>-9.6345E-2</v>
      </c>
      <c r="F23" s="7">
        <f>E23/L23</f>
        <v>-3.1715699345243385E-3</v>
      </c>
      <c r="G23" s="2">
        <v>-1.249611</v>
      </c>
      <c r="H23" s="2">
        <v>0.97843999999999998</v>
      </c>
      <c r="I23" s="2">
        <v>-0.26799699999999999</v>
      </c>
      <c r="J23" s="2">
        <v>-0.37873499999999999</v>
      </c>
      <c r="K23">
        <v>0</v>
      </c>
      <c r="L23" s="1">
        <v>30.377700000000001</v>
      </c>
      <c r="M23">
        <v>771</v>
      </c>
      <c r="N23">
        <v>4</v>
      </c>
      <c r="O23">
        <v>0</v>
      </c>
    </row>
    <row r="24" spans="1:15" x14ac:dyDescent="0.25">
      <c r="A24">
        <v>39</v>
      </c>
      <c r="B24" s="1">
        <v>13.33</v>
      </c>
      <c r="C24" s="1">
        <v>-1648.01</v>
      </c>
      <c r="D24" s="7">
        <v>10000</v>
      </c>
      <c r="E24" s="7">
        <f>C24/D24</f>
        <v>-0.164801</v>
      </c>
      <c r="F24" s="7">
        <f>E24/L24</f>
        <v>-3.2690243965334269E-3</v>
      </c>
      <c r="G24" s="2">
        <v>-2.1430560000000001</v>
      </c>
      <c r="H24" s="2">
        <v>0.96324699999999996</v>
      </c>
      <c r="I24" s="2">
        <v>-0.28543400000000002</v>
      </c>
      <c r="J24" s="2">
        <v>-0.48139599999999999</v>
      </c>
      <c r="K24">
        <v>0</v>
      </c>
      <c r="L24" s="1">
        <v>50.4129</v>
      </c>
      <c r="M24">
        <v>769</v>
      </c>
      <c r="N24">
        <v>15</v>
      </c>
      <c r="O24">
        <v>30</v>
      </c>
    </row>
    <row r="25" spans="1:15" x14ac:dyDescent="0.25">
      <c r="A25">
        <v>41</v>
      </c>
      <c r="B25" s="1">
        <v>15.21</v>
      </c>
      <c r="C25" s="1">
        <v>-1110.76</v>
      </c>
      <c r="D25" s="7">
        <v>10000</v>
      </c>
      <c r="E25" s="7">
        <f>C25/D25</f>
        <v>-0.11107599999999999</v>
      </c>
      <c r="F25" s="7">
        <f>E25/L25</f>
        <v>-3.3024129770356891E-3</v>
      </c>
      <c r="G25" s="2">
        <v>-1.4692590000000001</v>
      </c>
      <c r="H25" s="2">
        <v>0.97448400000000002</v>
      </c>
      <c r="I25" s="2">
        <v>-0.29450599999999999</v>
      </c>
      <c r="J25" s="2">
        <v>-0.33318799999999998</v>
      </c>
      <c r="K25">
        <v>0</v>
      </c>
      <c r="L25" s="1">
        <v>33.634799999999998</v>
      </c>
      <c r="M25">
        <v>756</v>
      </c>
      <c r="N25">
        <v>17</v>
      </c>
      <c r="O25">
        <v>30</v>
      </c>
    </row>
    <row r="26" spans="1:15" x14ac:dyDescent="0.25">
      <c r="A26">
        <v>40</v>
      </c>
      <c r="B26" s="1">
        <v>14.36</v>
      </c>
      <c r="C26" s="1">
        <v>-1469.41</v>
      </c>
      <c r="D26" s="7">
        <v>10000</v>
      </c>
      <c r="E26" s="7">
        <f>C26/D26</f>
        <v>-0.14694100000000002</v>
      </c>
      <c r="F26" s="7">
        <f>E26/L26</f>
        <v>-3.5268266456732226E-3</v>
      </c>
      <c r="G26" s="2">
        <v>-1.910806</v>
      </c>
      <c r="H26" s="2">
        <v>0.967171</v>
      </c>
      <c r="I26" s="2">
        <v>-0.33035399999999998</v>
      </c>
      <c r="J26" s="2">
        <v>-0.41440900000000003</v>
      </c>
      <c r="K26">
        <v>0</v>
      </c>
      <c r="L26" s="1">
        <v>41.663800000000002</v>
      </c>
      <c r="M26">
        <v>769</v>
      </c>
      <c r="N26">
        <v>16</v>
      </c>
      <c r="O26">
        <v>30</v>
      </c>
    </row>
    <row r="27" spans="1:15" x14ac:dyDescent="0.25">
      <c r="A27">
        <v>31</v>
      </c>
      <c r="B27" s="1">
        <v>11.2</v>
      </c>
      <c r="C27" s="1">
        <v>-1989.07</v>
      </c>
      <c r="D27" s="7">
        <v>10000</v>
      </c>
      <c r="E27" s="7">
        <f>C27/D27</f>
        <v>-0.198907</v>
      </c>
      <c r="F27" s="7">
        <f>E27/L27</f>
        <v>-3.8331769154129141E-3</v>
      </c>
      <c r="G27" s="2">
        <v>-2.5798570000000001</v>
      </c>
      <c r="H27" s="2">
        <v>0.95596400000000004</v>
      </c>
      <c r="I27" s="2">
        <v>-0.35210799999999998</v>
      </c>
      <c r="J27" s="2">
        <v>-0.68928400000000001</v>
      </c>
      <c r="K27">
        <v>0</v>
      </c>
      <c r="L27" s="1">
        <v>51.890900000000002</v>
      </c>
      <c r="M27">
        <v>771</v>
      </c>
      <c r="N27">
        <v>7</v>
      </c>
      <c r="O27">
        <v>30</v>
      </c>
    </row>
    <row r="28" spans="1:15" x14ac:dyDescent="0.25">
      <c r="A28">
        <v>25</v>
      </c>
      <c r="B28" s="1">
        <v>11.87</v>
      </c>
      <c r="C28" s="1">
        <v>-1383.44</v>
      </c>
      <c r="D28" s="7">
        <v>10000</v>
      </c>
      <c r="E28" s="7">
        <f>C28/D28</f>
        <v>-0.13834399999999999</v>
      </c>
      <c r="F28" s="7">
        <f>E28/L28</f>
        <v>-4.1040793380976532E-3</v>
      </c>
      <c r="G28" s="2">
        <v>-1.796675</v>
      </c>
      <c r="H28" s="2">
        <v>0.96913800000000005</v>
      </c>
      <c r="I28" s="2">
        <v>-0.368284</v>
      </c>
      <c r="J28" s="2">
        <v>-0.46699200000000002</v>
      </c>
      <c r="K28">
        <v>0</v>
      </c>
      <c r="L28" s="1">
        <v>33.7089</v>
      </c>
      <c r="M28">
        <v>770</v>
      </c>
      <c r="N28">
        <v>1</v>
      </c>
      <c r="O28">
        <v>30</v>
      </c>
    </row>
    <row r="29" spans="1:15" x14ac:dyDescent="0.25">
      <c r="A29">
        <v>15</v>
      </c>
      <c r="B29" s="1">
        <v>12.67</v>
      </c>
      <c r="C29" s="1">
        <v>-1831.15</v>
      </c>
      <c r="D29" s="7">
        <v>10000</v>
      </c>
      <c r="E29" s="7">
        <f>C29/D29</f>
        <v>-0.183115</v>
      </c>
      <c r="F29" s="7">
        <f>E29/L29</f>
        <v>-4.2052479767777252E-3</v>
      </c>
      <c r="G29" s="2">
        <v>-2.3936600000000001</v>
      </c>
      <c r="H29" s="2">
        <v>0.95908099999999996</v>
      </c>
      <c r="I29" s="2">
        <v>-0.39174500000000001</v>
      </c>
      <c r="J29" s="2">
        <v>-0.58939600000000003</v>
      </c>
      <c r="K29">
        <v>0</v>
      </c>
      <c r="L29" s="1">
        <v>43.544400000000003</v>
      </c>
      <c r="M29">
        <v>765</v>
      </c>
      <c r="N29">
        <v>15</v>
      </c>
      <c r="O29">
        <v>0</v>
      </c>
    </row>
    <row r="30" spans="1:15" x14ac:dyDescent="0.25">
      <c r="A30">
        <v>19</v>
      </c>
      <c r="B30" s="1">
        <v>15.02</v>
      </c>
      <c r="C30" s="1">
        <v>-1370.75</v>
      </c>
      <c r="D30" s="7">
        <v>10000</v>
      </c>
      <c r="E30" s="7">
        <f>C30/D30</f>
        <v>-0.137075</v>
      </c>
      <c r="F30" s="7">
        <f>E30/L30</f>
        <v>-4.4092292252365852E-3</v>
      </c>
      <c r="G30" s="2">
        <v>-1.8252330000000001</v>
      </c>
      <c r="H30" s="2">
        <v>0.96845899999999996</v>
      </c>
      <c r="I30" s="2">
        <v>-0.39478799999999997</v>
      </c>
      <c r="J30" s="2">
        <v>-0.43931300000000001</v>
      </c>
      <c r="K30">
        <v>0</v>
      </c>
      <c r="L30" s="1">
        <v>31.088200000000001</v>
      </c>
      <c r="M30">
        <v>751</v>
      </c>
      <c r="N30">
        <v>19</v>
      </c>
      <c r="O30">
        <v>0</v>
      </c>
    </row>
    <row r="31" spans="1:15" x14ac:dyDescent="0.25">
      <c r="A31">
        <v>35</v>
      </c>
      <c r="B31" s="1">
        <v>11.78</v>
      </c>
      <c r="C31" s="1">
        <v>-1603.28</v>
      </c>
      <c r="D31" s="7">
        <v>10000</v>
      </c>
      <c r="E31" s="7">
        <f>C31/D31</f>
        <v>-0.160328</v>
      </c>
      <c r="F31" s="7">
        <f>E31/L31</f>
        <v>-4.610584375062907E-3</v>
      </c>
      <c r="G31" s="2">
        <v>-2.0767880000000001</v>
      </c>
      <c r="H31" s="2">
        <v>0.96441500000000002</v>
      </c>
      <c r="I31" s="2">
        <v>-0.41886000000000001</v>
      </c>
      <c r="J31" s="2">
        <v>-0.73200900000000002</v>
      </c>
      <c r="K31">
        <v>0</v>
      </c>
      <c r="L31" s="1">
        <v>34.773899999999998</v>
      </c>
      <c r="M31">
        <v>772</v>
      </c>
      <c r="N31">
        <v>11</v>
      </c>
      <c r="O31">
        <v>30</v>
      </c>
    </row>
    <row r="32" spans="1:15" x14ac:dyDescent="0.25">
      <c r="A32">
        <v>27</v>
      </c>
      <c r="B32" s="1">
        <v>10.87</v>
      </c>
      <c r="C32" s="1">
        <v>-2250.4</v>
      </c>
      <c r="D32" s="7">
        <v>10000</v>
      </c>
      <c r="E32" s="7">
        <f>C32/D32</f>
        <v>-0.22504000000000002</v>
      </c>
      <c r="F32" s="7">
        <f>E32/L32</f>
        <v>-5.013522966765137E-3</v>
      </c>
      <c r="G32" s="2">
        <v>-2.9302079999999999</v>
      </c>
      <c r="H32" s="2">
        <v>0.95018599999999998</v>
      </c>
      <c r="I32" s="2">
        <v>-0.46934500000000001</v>
      </c>
      <c r="J32" s="2">
        <v>-0.76118799999999998</v>
      </c>
      <c r="K32">
        <v>0</v>
      </c>
      <c r="L32" s="1">
        <v>44.886600000000001</v>
      </c>
      <c r="M32">
        <v>768</v>
      </c>
      <c r="N32">
        <v>3</v>
      </c>
      <c r="O32">
        <v>30</v>
      </c>
    </row>
    <row r="33" spans="1:15" x14ac:dyDescent="0.25">
      <c r="A33">
        <v>42</v>
      </c>
      <c r="B33" s="1">
        <v>14.11</v>
      </c>
      <c r="C33" s="1">
        <v>-2229.5500000000002</v>
      </c>
      <c r="D33" s="7">
        <v>10000</v>
      </c>
      <c r="E33" s="7">
        <f>C33/D33</f>
        <v>-0.22295500000000001</v>
      </c>
      <c r="F33" s="7">
        <f>E33/L33</f>
        <v>-6.1667800698120825E-3</v>
      </c>
      <c r="G33" s="2">
        <v>-2.9687749999999999</v>
      </c>
      <c r="H33" s="2">
        <v>0.94932000000000005</v>
      </c>
      <c r="I33" s="2">
        <v>-0.51794799999999996</v>
      </c>
      <c r="J33" s="2">
        <v>-0.83105200000000001</v>
      </c>
      <c r="K33">
        <v>0</v>
      </c>
      <c r="L33" s="1">
        <v>36.154200000000003</v>
      </c>
      <c r="M33">
        <v>751</v>
      </c>
      <c r="N33">
        <v>18</v>
      </c>
      <c r="O33">
        <v>30</v>
      </c>
    </row>
    <row r="34" spans="1:15" x14ac:dyDescent="0.25">
      <c r="A34">
        <v>23</v>
      </c>
      <c r="B34" s="1">
        <v>11.85</v>
      </c>
      <c r="C34" s="1">
        <v>-2374.44</v>
      </c>
      <c r="D34" s="7">
        <v>10000</v>
      </c>
      <c r="E34" s="7">
        <f>C34/D34</f>
        <v>-0.23744400000000002</v>
      </c>
      <c r="F34" s="7">
        <f>E34/L34</f>
        <v>-6.2548964339998892E-3</v>
      </c>
      <c r="G34" s="2">
        <v>-3.2796129999999999</v>
      </c>
      <c r="H34" s="2">
        <v>0.94408099999999995</v>
      </c>
      <c r="I34" s="2">
        <v>-0.56613100000000005</v>
      </c>
      <c r="J34" s="2">
        <v>-0.89326099999999997</v>
      </c>
      <c r="K34">
        <v>0</v>
      </c>
      <c r="L34" s="1">
        <v>37.961300000000001</v>
      </c>
      <c r="M34">
        <v>724</v>
      </c>
      <c r="N34">
        <v>23</v>
      </c>
      <c r="O34">
        <v>0</v>
      </c>
    </row>
    <row r="35" spans="1:15" x14ac:dyDescent="0.25">
      <c r="A35">
        <v>24</v>
      </c>
      <c r="B35" s="1">
        <v>9.93</v>
      </c>
      <c r="C35" s="1">
        <v>-3189.67</v>
      </c>
      <c r="D35" s="7">
        <v>10000</v>
      </c>
      <c r="E35" s="7">
        <f>C35/D35</f>
        <v>-0.318967</v>
      </c>
      <c r="F35" s="7">
        <f>E35/L35</f>
        <v>-6.4676099404675008E-3</v>
      </c>
      <c r="G35" s="2">
        <v>-4.1478149999999996</v>
      </c>
      <c r="H35" s="2">
        <v>0.93016900000000002</v>
      </c>
      <c r="I35" s="2">
        <v>-0.63519499999999995</v>
      </c>
      <c r="J35" s="2">
        <v>-0.89984399999999998</v>
      </c>
      <c r="K35">
        <v>0</v>
      </c>
      <c r="L35" s="1">
        <v>49.317599999999999</v>
      </c>
      <c r="M35">
        <v>769</v>
      </c>
      <c r="N35">
        <v>0</v>
      </c>
      <c r="O35">
        <v>30</v>
      </c>
    </row>
    <row r="36" spans="1:15" x14ac:dyDescent="0.25">
      <c r="A36">
        <v>13</v>
      </c>
      <c r="B36" s="1">
        <v>9.98</v>
      </c>
      <c r="C36" s="1">
        <v>-3546.96</v>
      </c>
      <c r="D36" s="7">
        <v>10000</v>
      </c>
      <c r="E36" s="7">
        <f>C36/D36</f>
        <v>-0.35469600000000001</v>
      </c>
      <c r="F36" s="7">
        <f>E36/L36</f>
        <v>-6.5487859591854825E-3</v>
      </c>
      <c r="G36" s="2">
        <v>-4.6184370000000001</v>
      </c>
      <c r="H36" s="2">
        <v>0.92252299999999998</v>
      </c>
      <c r="I36" s="2">
        <v>-0.54016500000000001</v>
      </c>
      <c r="J36" s="2">
        <v>-1.880762</v>
      </c>
      <c r="K36">
        <v>0</v>
      </c>
      <c r="L36" s="1">
        <v>54.162100000000002</v>
      </c>
      <c r="M36">
        <v>768</v>
      </c>
      <c r="N36">
        <v>13</v>
      </c>
      <c r="O36">
        <v>0</v>
      </c>
    </row>
    <row r="37" spans="1:15" x14ac:dyDescent="0.25">
      <c r="A37">
        <v>44</v>
      </c>
      <c r="B37" s="1">
        <v>12.56</v>
      </c>
      <c r="C37" s="1">
        <v>-3260.83</v>
      </c>
      <c r="D37" s="7">
        <v>10000</v>
      </c>
      <c r="E37" s="7">
        <f>C37/D37</f>
        <v>-0.32608300000000001</v>
      </c>
      <c r="F37" s="7">
        <f>E37/L37</f>
        <v>-6.6346075590858781E-3</v>
      </c>
      <c r="G37" s="2">
        <v>-4.3887349999999996</v>
      </c>
      <c r="H37" s="2">
        <v>0.92597399999999996</v>
      </c>
      <c r="I37" s="2">
        <v>-0.61538099999999996</v>
      </c>
      <c r="J37" s="2">
        <v>-0.99143300000000001</v>
      </c>
      <c r="K37">
        <v>0</v>
      </c>
      <c r="L37" s="1">
        <v>49.148800000000001</v>
      </c>
      <c r="M37">
        <v>743</v>
      </c>
      <c r="N37">
        <v>20</v>
      </c>
      <c r="O37">
        <v>30</v>
      </c>
    </row>
    <row r="38" spans="1:15" x14ac:dyDescent="0.25">
      <c r="A38">
        <v>26</v>
      </c>
      <c r="B38" s="1">
        <v>8.9700000000000006</v>
      </c>
      <c r="C38" s="1">
        <v>-4427.1499999999996</v>
      </c>
      <c r="D38" s="7">
        <v>10000</v>
      </c>
      <c r="E38" s="7">
        <f>C38/D38</f>
        <v>-0.44271499999999997</v>
      </c>
      <c r="F38" s="7">
        <f>E38/L38</f>
        <v>-6.6952241243723913E-3</v>
      </c>
      <c r="G38" s="2">
        <v>-5.7420879999999999</v>
      </c>
      <c r="H38" s="2">
        <v>0.90463499999999997</v>
      </c>
      <c r="I38" s="2">
        <v>-0.65754900000000005</v>
      </c>
      <c r="J38" s="2">
        <v>-1.1417759999999999</v>
      </c>
      <c r="K38">
        <v>0</v>
      </c>
      <c r="L38" s="1">
        <v>66.123999999999995</v>
      </c>
      <c r="M38">
        <v>771</v>
      </c>
      <c r="N38">
        <v>2</v>
      </c>
      <c r="O38">
        <v>30</v>
      </c>
    </row>
    <row r="39" spans="1:15" x14ac:dyDescent="0.25">
      <c r="A39">
        <v>32</v>
      </c>
      <c r="B39" s="1">
        <v>9.6999999999999993</v>
      </c>
      <c r="C39" s="1">
        <v>-3620.03</v>
      </c>
      <c r="D39" s="7">
        <v>10000</v>
      </c>
      <c r="E39" s="7">
        <f>C39/D39</f>
        <v>-0.36200300000000002</v>
      </c>
      <c r="F39" s="7">
        <f>E39/L39</f>
        <v>-7.1035859075442602E-3</v>
      </c>
      <c r="G39" s="2">
        <v>-4.6952400000000001</v>
      </c>
      <c r="H39" s="2">
        <v>0.92130699999999999</v>
      </c>
      <c r="I39" s="2">
        <v>-0.65771999999999997</v>
      </c>
      <c r="J39" s="2">
        <v>-1.425189</v>
      </c>
      <c r="K39">
        <v>0</v>
      </c>
      <c r="L39" s="1">
        <v>50.960599999999999</v>
      </c>
      <c r="M39">
        <v>771</v>
      </c>
      <c r="N39">
        <v>8</v>
      </c>
      <c r="O39">
        <v>30</v>
      </c>
    </row>
    <row r="40" spans="1:15" x14ac:dyDescent="0.25">
      <c r="A40">
        <v>36</v>
      </c>
      <c r="B40" s="1">
        <v>10.210000000000001</v>
      </c>
      <c r="C40" s="1">
        <v>-3220.78</v>
      </c>
      <c r="D40" s="7">
        <v>10000</v>
      </c>
      <c r="E40" s="7">
        <f>C40/D40</f>
        <v>-0.32207800000000003</v>
      </c>
      <c r="F40" s="7">
        <f>E40/L40</f>
        <v>-7.2676768246589885E-3</v>
      </c>
      <c r="G40" s="2">
        <v>-4.1398200000000003</v>
      </c>
      <c r="H40" s="2">
        <v>0.93028500000000003</v>
      </c>
      <c r="I40" s="2">
        <v>-0.60704000000000002</v>
      </c>
      <c r="J40" s="2">
        <v>-1.7997339999999999</v>
      </c>
      <c r="K40">
        <v>0</v>
      </c>
      <c r="L40" s="1">
        <v>44.316499999999998</v>
      </c>
      <c r="M40">
        <v>778</v>
      </c>
      <c r="N40">
        <v>12</v>
      </c>
      <c r="O40">
        <v>30</v>
      </c>
    </row>
    <row r="41" spans="1:15" x14ac:dyDescent="0.25">
      <c r="A41">
        <v>14</v>
      </c>
      <c r="B41" s="1">
        <v>10.47</v>
      </c>
      <c r="C41" s="1">
        <v>-3458.33</v>
      </c>
      <c r="D41" s="7">
        <v>10000</v>
      </c>
      <c r="E41" s="7">
        <f>C41/D41</f>
        <v>-0.345833</v>
      </c>
      <c r="F41" s="7">
        <f>E41/L41</f>
        <v>-8.0295565358718367E-3</v>
      </c>
      <c r="G41" s="2">
        <v>-4.4971779999999999</v>
      </c>
      <c r="H41" s="2">
        <v>0.92448699999999995</v>
      </c>
      <c r="I41" s="2">
        <v>-0.73861399999999999</v>
      </c>
      <c r="J41" s="2">
        <v>-1.482065</v>
      </c>
      <c r="K41">
        <v>0</v>
      </c>
      <c r="L41" s="1">
        <v>43.07</v>
      </c>
      <c r="M41">
        <v>769</v>
      </c>
      <c r="N41">
        <v>14</v>
      </c>
      <c r="O41">
        <v>0</v>
      </c>
    </row>
    <row r="42" spans="1:15" x14ac:dyDescent="0.25">
      <c r="A42">
        <v>17</v>
      </c>
      <c r="B42" s="1">
        <v>12.1</v>
      </c>
      <c r="C42" s="1">
        <v>-3924.21</v>
      </c>
      <c r="D42" s="7">
        <v>10000</v>
      </c>
      <c r="E42" s="7">
        <f>C42/D42</f>
        <v>-0.39242100000000002</v>
      </c>
      <c r="F42" s="7">
        <f>E42/L42</f>
        <v>-8.2129432742859068E-3</v>
      </c>
      <c r="G42" s="2">
        <v>-5.1030040000000003</v>
      </c>
      <c r="H42" s="2">
        <v>0.91432500000000005</v>
      </c>
      <c r="I42" s="2">
        <v>-0.72713499999999998</v>
      </c>
      <c r="J42" s="2">
        <v>-1.3151900000000001</v>
      </c>
      <c r="K42">
        <v>0</v>
      </c>
      <c r="L42" s="1">
        <v>47.780799999999999</v>
      </c>
      <c r="M42">
        <v>769</v>
      </c>
      <c r="N42">
        <v>17</v>
      </c>
      <c r="O42">
        <v>0</v>
      </c>
    </row>
    <row r="43" spans="1:15" x14ac:dyDescent="0.25">
      <c r="A43">
        <v>8</v>
      </c>
      <c r="B43" s="1">
        <v>8.86</v>
      </c>
      <c r="C43" s="1">
        <v>-4620.4799999999996</v>
      </c>
      <c r="D43" s="7">
        <v>10000</v>
      </c>
      <c r="E43" s="7">
        <f>C43/D43</f>
        <v>-0.46204799999999996</v>
      </c>
      <c r="F43" s="7">
        <f>E43/L43</f>
        <v>-8.2983652841086639E-3</v>
      </c>
      <c r="G43" s="2">
        <v>-5.9850779999999997</v>
      </c>
      <c r="H43" s="2">
        <v>0.90073400000000003</v>
      </c>
      <c r="I43" s="2">
        <v>-0.720445</v>
      </c>
      <c r="J43" s="2">
        <v>-2.277765</v>
      </c>
      <c r="K43">
        <v>0</v>
      </c>
      <c r="L43" s="1">
        <v>55.679400000000001</v>
      </c>
      <c r="M43">
        <v>772</v>
      </c>
      <c r="N43">
        <v>8</v>
      </c>
      <c r="O43">
        <v>0</v>
      </c>
    </row>
    <row r="44" spans="1:15" x14ac:dyDescent="0.25">
      <c r="A44">
        <v>43</v>
      </c>
      <c r="B44" s="1">
        <v>11.64</v>
      </c>
      <c r="C44" s="1">
        <v>-4647.1400000000003</v>
      </c>
      <c r="D44" s="7">
        <v>10000</v>
      </c>
      <c r="E44" s="7">
        <f>C44/D44</f>
        <v>-0.46471400000000002</v>
      </c>
      <c r="F44" s="7">
        <f>E44/L44</f>
        <v>-8.9867011658960414E-3</v>
      </c>
      <c r="G44" s="2">
        <v>-6.2377719999999997</v>
      </c>
      <c r="H44" s="2">
        <v>0.89638200000000001</v>
      </c>
      <c r="I44" s="2">
        <v>-0.81895899999999999</v>
      </c>
      <c r="J44" s="2">
        <v>-1.424272</v>
      </c>
      <c r="K44">
        <v>0</v>
      </c>
      <c r="L44" s="1">
        <v>51.711300000000001</v>
      </c>
      <c r="M44">
        <v>745</v>
      </c>
      <c r="N44">
        <v>19</v>
      </c>
      <c r="O44">
        <v>30</v>
      </c>
    </row>
    <row r="45" spans="1:15" x14ac:dyDescent="0.25">
      <c r="A45">
        <v>2</v>
      </c>
      <c r="B45" s="1">
        <v>10.06</v>
      </c>
      <c r="C45" s="1">
        <v>-3182.56</v>
      </c>
      <c r="D45" s="7">
        <v>10000</v>
      </c>
      <c r="E45" s="7">
        <f>C45/D45</f>
        <v>-0.31825599999999998</v>
      </c>
      <c r="F45" s="7">
        <f>E45/L45</f>
        <v>-9.1069231341532522E-3</v>
      </c>
      <c r="G45" s="2">
        <v>-4.1224869999999996</v>
      </c>
      <c r="H45" s="2">
        <v>0.930593</v>
      </c>
      <c r="I45" s="2">
        <v>-0.89440699999999995</v>
      </c>
      <c r="J45" s="2">
        <v>-1.1074930000000001</v>
      </c>
      <c r="K45">
        <v>0</v>
      </c>
      <c r="L45" s="1">
        <v>34.946599999999997</v>
      </c>
      <c r="M45">
        <v>772</v>
      </c>
      <c r="N45">
        <v>2</v>
      </c>
      <c r="O45">
        <v>0</v>
      </c>
    </row>
    <row r="46" spans="1:15" x14ac:dyDescent="0.25">
      <c r="A46">
        <v>46</v>
      </c>
      <c r="B46" s="1">
        <v>6.07</v>
      </c>
      <c r="C46" s="1">
        <v>-7366.45</v>
      </c>
      <c r="D46" s="7">
        <v>10000</v>
      </c>
      <c r="E46" s="7">
        <f>C46/D46</f>
        <v>-0.73664499999999999</v>
      </c>
      <c r="F46" s="7">
        <f>E46/L46</f>
        <v>-9.1607928091050183E-3</v>
      </c>
      <c r="G46" s="2">
        <v>-14.58703</v>
      </c>
      <c r="H46" s="2">
        <v>0.77438499999999999</v>
      </c>
      <c r="I46" s="2">
        <v>-0.90270300000000003</v>
      </c>
      <c r="J46" s="2">
        <v>-3.398755</v>
      </c>
      <c r="K46">
        <v>0</v>
      </c>
      <c r="L46" s="1">
        <v>80.412800000000004</v>
      </c>
      <c r="M46">
        <v>505</v>
      </c>
      <c r="N46">
        <v>22</v>
      </c>
      <c r="O46">
        <v>30</v>
      </c>
    </row>
    <row r="47" spans="1:15" x14ac:dyDescent="0.25">
      <c r="A47">
        <v>20</v>
      </c>
      <c r="B47" s="1">
        <v>10.55</v>
      </c>
      <c r="C47" s="1">
        <v>-5470.15</v>
      </c>
      <c r="D47" s="7">
        <v>10000</v>
      </c>
      <c r="E47" s="7">
        <f>C47/D47</f>
        <v>-0.54701499999999992</v>
      </c>
      <c r="F47" s="7">
        <f>E47/L47</f>
        <v>-9.2143895507981917E-3</v>
      </c>
      <c r="G47" s="2">
        <v>-7.3622480000000001</v>
      </c>
      <c r="H47" s="2">
        <v>0.87909099999999996</v>
      </c>
      <c r="I47" s="2">
        <v>-0.87958400000000003</v>
      </c>
      <c r="J47" s="2">
        <v>-1.733317</v>
      </c>
      <c r="K47">
        <v>0</v>
      </c>
      <c r="L47" s="1">
        <v>59.365299999999998</v>
      </c>
      <c r="M47">
        <v>743</v>
      </c>
      <c r="N47">
        <v>20</v>
      </c>
      <c r="O47">
        <v>0</v>
      </c>
    </row>
    <row r="48" spans="1:15" x14ac:dyDescent="0.25">
      <c r="A48">
        <v>0</v>
      </c>
      <c r="B48" s="7">
        <v>6.96</v>
      </c>
      <c r="C48" s="1">
        <v>-4331.1499999999996</v>
      </c>
      <c r="D48" s="7">
        <v>10000</v>
      </c>
      <c r="E48" s="7">
        <f>C48/D48</f>
        <v>-0.43311499999999997</v>
      </c>
      <c r="F48" s="7">
        <f>E48/L48</f>
        <v>-9.8208232335714948E-3</v>
      </c>
      <c r="G48" s="8">
        <v>-9.4773519999999998</v>
      </c>
      <c r="H48" s="8">
        <v>0.84736800000000001</v>
      </c>
      <c r="I48" s="8">
        <v>-0.97047899999999998</v>
      </c>
      <c r="J48" s="8">
        <v>-2.6410990000000001</v>
      </c>
      <c r="K48">
        <v>0</v>
      </c>
      <c r="L48" s="1">
        <v>44.101700000000001</v>
      </c>
      <c r="M48">
        <v>457</v>
      </c>
      <c r="N48">
        <v>0</v>
      </c>
      <c r="O48">
        <v>0</v>
      </c>
    </row>
    <row r="49" spans="1:15" x14ac:dyDescent="0.25">
      <c r="A49">
        <v>47</v>
      </c>
      <c r="B49" s="7">
        <v>8.4700000000000006</v>
      </c>
      <c r="C49" s="1">
        <v>-6351.18</v>
      </c>
      <c r="D49" s="7">
        <v>10000</v>
      </c>
      <c r="E49" s="7">
        <f>C49/D49</f>
        <v>-0.63511800000000007</v>
      </c>
      <c r="F49" s="7">
        <f>E49/L49</f>
        <v>-9.8983079375914666E-3</v>
      </c>
      <c r="G49" s="8">
        <v>-8.2482860000000002</v>
      </c>
      <c r="H49" s="8">
        <v>0.86534500000000003</v>
      </c>
      <c r="I49" s="8">
        <v>-0.97212900000000002</v>
      </c>
      <c r="J49" s="8">
        <v>-2.364255</v>
      </c>
      <c r="K49">
        <v>0</v>
      </c>
      <c r="L49" s="1">
        <v>64.164299999999997</v>
      </c>
      <c r="M49">
        <v>770</v>
      </c>
      <c r="N49">
        <v>23</v>
      </c>
      <c r="O49">
        <v>30</v>
      </c>
    </row>
  </sheetData>
  <autoFilter ref="A1:O49" xr:uid="{6A94D1E5-592B-4E8D-936D-895428D472EE}">
    <filterColumn colId="5">
      <filters>
        <filter val="0.00"/>
        <filter val="0.01"/>
        <filter val="-0.01"/>
        <filter val="0.02"/>
        <filter val="0.03"/>
        <filter val="0.04"/>
      </filters>
    </filterColumn>
    <sortState xmlns:xlrd2="http://schemas.microsoft.com/office/spreadsheetml/2017/richdata2" ref="A2:O49">
      <sortCondition descending="1" ref="F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</vt:lpstr>
      <vt:lpstr>Tester Optimizator Results</vt:lpstr>
    </vt:vector>
  </TitlesOfParts>
  <Company>Copyright 2000-2025,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OroJueves_v4 XAUUSD,H1 2022.01.01-2024.12.31</dc:title>
  <dc:creator>MetaQuotes Ltd.</dc:creator>
  <cp:lastModifiedBy>DANIEL TONALI ARANDA BRETON</cp:lastModifiedBy>
  <cp:revision>1</cp:revision>
  <dcterms:created xsi:type="dcterms:W3CDTF">2025-09-02T13:27:49Z</dcterms:created>
  <dcterms:modified xsi:type="dcterms:W3CDTF">2025-09-02T13:40:15Z</dcterms:modified>
</cp:coreProperties>
</file>
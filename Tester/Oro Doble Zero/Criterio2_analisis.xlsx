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2. Con condicion TDI" sheetId="1" state="visible" r:id="rId2"/>
    <sheet name="C2. Sin condicion TDI" sheetId="2" state="visible" r:id="rId3"/>
    <sheet name="Analisi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<sst xmlns="http://schemas.openxmlformats.org/spreadsheetml/2006/main" count="790" uniqueCount="283">
  <si>
    <t xml:space="preserve">Informe del Probador de Estrategias</t>
  </si>
  <si>
    <t xml:space="preserve">Pepperstone-Demo (Build 4410)</t>
  </si>
  <si>
    <t xml:space="preserve">Configuración</t>
  </si>
  <si>
    <t xml:space="preserve">Experto:</t>
  </si>
  <si>
    <t xml:space="preserve">OroDobleZero_v1.1</t>
  </si>
  <si>
    <t xml:space="preserve">Símbolo:</t>
  </si>
  <si>
    <t xml:space="preserve">XAUUSD</t>
  </si>
  <si>
    <t xml:space="preserve">Período:</t>
  </si>
  <si>
    <t xml:space="preserve">H1 (2024.01.01 - 2024.07.22)</t>
  </si>
  <si>
    <t xml:space="preserve">Parámetros de entrada:</t>
  </si>
  <si>
    <t xml:space="preserve">=</t>
  </si>
  <si>
    <t xml:space="preserve">porcentaje_jugar=1.143</t>
  </si>
  <si>
    <t xml:space="preserve">velasSyR=2</t>
  </si>
  <si>
    <t xml:space="preserve">usar_balance_fijo=true</t>
  </si>
  <si>
    <t xml:space="preserve">balance_fijo=10000.0</t>
  </si>
  <si>
    <t xml:space="preserve">EleccionMartingala=4</t>
  </si>
  <si>
    <t xml:space="preserve">ratio=1.0</t>
  </si>
  <si>
    <t xml:space="preserve">breakEvenPoints=4000</t>
  </si>
  <si>
    <t xml:space="preserve">breakEvenPrice_offset=200</t>
  </si>
  <si>
    <t xml:space="preserve">umbral_zona=100</t>
  </si>
  <si>
    <t xml:space="preserve">ancho_frontera=5</t>
  </si>
  <si>
    <t xml:space="preserve">cerrar_OrdenesPasadas=false</t>
  </si>
  <si>
    <t xml:space="preserve">usarSL=true</t>
  </si>
  <si>
    <t xml:space="preserve">maximoSL=1600</t>
  </si>
  <si>
    <t xml:space="preserve">minimoSL=900</t>
  </si>
  <si>
    <t xml:space="preserve">SL_offset=50</t>
  </si>
  <si>
    <t xml:space="preserve">precio_ReferenicaSeleccion=true</t>
  </si>
  <si>
    <t xml:space="preserve">ATH=2600.0</t>
  </si>
  <si>
    <t xml:space="preserve">ATL=1600.0</t>
  </si>
  <si>
    <t xml:space="preserve">linea_referencia=2069.0</t>
  </si>
  <si>
    <t xml:space="preserve">ancho=5</t>
  </si>
  <si>
    <t xml:space="preserve">periodoPivotes=0</t>
  </si>
  <si>
    <t xml:space="preserve">usar_AllTimeAutomaticos=true</t>
  </si>
  <si>
    <t xml:space="preserve">lookback=100</t>
  </si>
  <si>
    <t xml:space="preserve">periodoEstrategia=16385</t>
  </si>
  <si>
    <t xml:space="preserve">tiempoVelaAperturaHora=3</t>
  </si>
  <si>
    <t xml:space="preserve">tiempoVelaAperturaMin=0</t>
  </si>
  <si>
    <t xml:space="preserve">tiempoVelaAperturaSeg=0</t>
  </si>
  <si>
    <t xml:space="preserve">verDatosVentana=false</t>
  </si>
  <si>
    <t xml:space="preserve">shift=0</t>
  </si>
  <si>
    <t xml:space="preserve">verVelaEpecifica=false</t>
  </si>
  <si>
    <t xml:space="preserve">k=0</t>
  </si>
  <si>
    <t xml:space="preserve">N=20</t>
  </si>
  <si>
    <t xml:space="preserve">VelaAperturaHora=3</t>
  </si>
  <si>
    <t xml:space="preserve">VelaAperturaMin=0</t>
  </si>
  <si>
    <t xml:space="preserve">VelaAperturaSeg=0</t>
  </si>
  <si>
    <t xml:space="preserve">verDatosSoporte=false</t>
  </si>
  <si>
    <t xml:space="preserve">src=1</t>
  </si>
  <si>
    <t xml:space="preserve">srcHeiken=true</t>
  </si>
  <si>
    <t xml:space="preserve">periodoTDI1=16385</t>
  </si>
  <si>
    <t xml:space="preserve">lengthrsi1=13</t>
  </si>
  <si>
    <t xml:space="preserve">lengthband1=34</t>
  </si>
  <si>
    <t xml:space="preserve">lengthrsipl1=2</t>
  </si>
  <si>
    <t xml:space="preserve">lengthtradesl1=7</t>
  </si>
  <si>
    <t xml:space="preserve">lookback_TDI1=1</t>
  </si>
  <si>
    <t xml:space="preserve">pendiente_TDI1=1.2</t>
  </si>
  <si>
    <t xml:space="preserve">ponderacion_TDI1=1</t>
  </si>
  <si>
    <t xml:space="preserve">ponderacion_RSI1=0</t>
  </si>
  <si>
    <t xml:space="preserve">periodoTDI2=16385</t>
  </si>
  <si>
    <t xml:space="preserve">lengthrsi2=11</t>
  </si>
  <si>
    <t xml:space="preserve">lengthband2=31</t>
  </si>
  <si>
    <t xml:space="preserve">lengthrsipl2=1</t>
  </si>
  <si>
    <t xml:space="preserve">lengthtradesl2=9</t>
  </si>
  <si>
    <t xml:space="preserve">lookback_TDI2=1</t>
  </si>
  <si>
    <t xml:space="preserve">pendiente_TDI2=1.2</t>
  </si>
  <si>
    <t xml:space="preserve">ponderacion_TDI2=1</t>
  </si>
  <si>
    <t xml:space="preserve">ponderacion_RSI2=0</t>
  </si>
  <si>
    <t xml:space="preserve">periodoTDI3=16388</t>
  </si>
  <si>
    <t xml:space="preserve">lengthrsi3=11</t>
  </si>
  <si>
    <t xml:space="preserve">lengthband3=31</t>
  </si>
  <si>
    <t xml:space="preserve">lengthrsipl3=1</t>
  </si>
  <si>
    <t xml:space="preserve">lengthtradesl3=9</t>
  </si>
  <si>
    <t xml:space="preserve">lookback_TDI3=1</t>
  </si>
  <si>
    <t xml:space="preserve">pendiente_TDI3=0.55</t>
  </si>
  <si>
    <t xml:space="preserve">ponderacion_TDI3=0.0</t>
  </si>
  <si>
    <t xml:space="preserve">ponderacion_RSI3=0.0</t>
  </si>
  <si>
    <t xml:space="preserve">ref=1</t>
  </si>
  <si>
    <t xml:space="preserve">nivelSobreCompra_TDI=68.0</t>
  </si>
  <si>
    <t xml:space="preserve">nivelSobreVenta_TDI=32.0</t>
  </si>
  <si>
    <t xml:space="preserve">codeAlcista=233</t>
  </si>
  <si>
    <t xml:space="preserve">codeBajista=234</t>
  </si>
  <si>
    <t xml:space="preserve">verDatosTDI=false</t>
  </si>
  <si>
    <t xml:space="preserve">verComentarios=true</t>
  </si>
  <si>
    <t xml:space="preserve">forzarLong=false</t>
  </si>
  <si>
    <t xml:space="preserve">forzarShort=false</t>
  </si>
  <si>
    <t xml:space="preserve">forzarIndecision=false</t>
  </si>
  <si>
    <t xml:space="preserve">forzarTendenciaLong=false</t>
  </si>
  <si>
    <t xml:space="preserve">forzarTendenciaShort=false</t>
  </si>
  <si>
    <t xml:space="preserve">forzarTendenciaNeutra=false</t>
  </si>
  <si>
    <t xml:space="preserve">Empresa:</t>
  </si>
  <si>
    <t xml:space="preserve">Pepperstone Group Limited</t>
  </si>
  <si>
    <t xml:space="preserve">Divisa:</t>
  </si>
  <si>
    <t xml:space="preserve">beneficio en pips</t>
  </si>
  <si>
    <t xml:space="preserve">Depósito inicial:</t>
  </si>
  <si>
    <t xml:space="preserve">Apalancamiento:</t>
  </si>
  <si>
    <t xml:space="preserve">1:500</t>
  </si>
  <si>
    <t xml:space="preserve">Resultados</t>
  </si>
  <si>
    <t xml:space="preserve">Calidad del historial:</t>
  </si>
  <si>
    <t xml:space="preserve">100%</t>
  </si>
  <si>
    <t xml:space="preserve">Barras:</t>
  </si>
  <si>
    <t xml:space="preserve">Ticks:</t>
  </si>
  <si>
    <t xml:space="preserve">Símbolos:</t>
  </si>
  <si>
    <t xml:space="preserve">Beneficio Neto:</t>
  </si>
  <si>
    <t xml:space="preserve">Reducción absoluta del balance:</t>
  </si>
  <si>
    <t xml:space="preserve">Reducción absoluta de la equidad:</t>
  </si>
  <si>
    <t xml:space="preserve">Beneficio Bruto:</t>
  </si>
  <si>
    <t xml:space="preserve">Reducción máxima del balance:</t>
  </si>
  <si>
    <t xml:space="preserve">114.86 (1.15%)</t>
  </si>
  <si>
    <t xml:space="preserve">Reducción máxima de la equidad:</t>
  </si>
  <si>
    <t xml:space="preserve">263.44 (2.61%)</t>
  </si>
  <si>
    <t xml:space="preserve">Pérdidas Brutas:</t>
  </si>
  <si>
    <t xml:space="preserve">Reducción relativa del balance:</t>
  </si>
  <si>
    <t xml:space="preserve">1.15% (114.86)</t>
  </si>
  <si>
    <t xml:space="preserve">Reducción relativa de la equidad:</t>
  </si>
  <si>
    <t xml:space="preserve">2.61% (263.44)</t>
  </si>
  <si>
    <t xml:space="preserve">Factor de Beneficio:</t>
  </si>
  <si>
    <t xml:space="preserve">Beneficio Esperado:</t>
  </si>
  <si>
    <t xml:space="preserve">Nivel de margen:</t>
  </si>
  <si>
    <t xml:space="preserve">24519150.00%</t>
  </si>
  <si>
    <t xml:space="preserve">Factor de Recuperación:</t>
  </si>
  <si>
    <t xml:space="preserve">Ratio de Sharpe:</t>
  </si>
  <si>
    <t xml:space="preserve">Z-Score:</t>
  </si>
  <si>
    <t xml:space="preserve">1.20 (76.99%)</t>
  </si>
  <si>
    <t xml:space="preserve">AHPR:</t>
  </si>
  <si>
    <t xml:space="preserve">1.0024 (0.24%)</t>
  </si>
  <si>
    <t xml:space="preserve">LR Correlation:</t>
  </si>
  <si>
    <t xml:space="preserve">Resultado de OnTester:</t>
  </si>
  <si>
    <t xml:space="preserve">0</t>
  </si>
  <si>
    <t xml:space="preserve">GHPR:</t>
  </si>
  <si>
    <t xml:space="preserve">1.0023 (0.23%)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</si>
  <si>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</si>
  <si>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</si>
  <si>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</si>
  <si>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</si>
  <si>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Tiempo mínimo para retener la posición:</t>
  </si>
  <si>
    <t xml:space="preserve">3:38:40</t>
  </si>
  <si>
    <t xml:space="preserve">Tiempo máximo para retener la posición:</t>
  </si>
  <si>
    <t xml:space="preserve">10:30:40</t>
  </si>
  <si>
    <t xml:space="preserve">Tiempo medio para retener la posición:</t>
  </si>
  <si>
    <t xml:space="preserve">7:34:04</t>
  </si>
  <si>
    <t xml:space="preserve">Total de operaciones ejecutadas:</t>
  </si>
  <si>
    <t xml:space="preserve">Posiciones cortas (% rentables):</t>
  </si>
  <si>
    <t xml:space="preserve">5 (60.00%)</t>
  </si>
  <si>
    <t xml:space="preserve">Posiciones largas (% rentables):</t>
  </si>
  <si>
    <t xml:space="preserve">0 (0.00%)</t>
  </si>
  <si>
    <t xml:space="preserve">Total de transacciones:</t>
  </si>
  <si>
    <t xml:space="preserve">Posiciones rentables (% del total):</t>
  </si>
  <si>
    <t xml:space="preserve">3 (60.00%)</t>
  </si>
  <si>
    <t xml:space="preserve">Posiciones no rentables (% del total):</t>
  </si>
  <si>
    <t xml:space="preserve">2 (40.00%)</t>
  </si>
  <si>
    <t xml:space="preserve">La transacción rentable:</t>
  </si>
  <si>
    <t xml:space="preserve">La transacción no rentable:</t>
  </si>
  <si>
    <t xml:space="preserve">Promedio de transacción rentable:</t>
  </si>
  <si>
    <t xml:space="preserve">Promedio de transacción no rentable:</t>
  </si>
  <si>
    <t xml:space="preserve">El número máximo de ganancias consecutivas ($):</t>
  </si>
  <si>
    <t xml:space="preserve">2 (232.33)</t>
  </si>
  <si>
    <t xml:space="preserve">El número máximo de pérdidas consecutivas ($):</t>
  </si>
  <si>
    <t xml:space="preserve">1 (-114.72)</t>
  </si>
  <si>
    <t xml:space="preserve">El máximo de beneficio consecutivo (número de ganancias):</t>
  </si>
  <si>
    <t xml:space="preserve">232.33 (2)</t>
  </si>
  <si>
    <t xml:space="preserve">El máximo de pérdidas consecutivas (número de pérdidas):</t>
  </si>
  <si>
    <t xml:space="preserve">-114.72 (1)</t>
  </si>
  <si>
    <t xml:space="preserve">Promedio de ganancias consecutivas:</t>
  </si>
  <si>
    <t xml:space="preserve">Promedio de pérdidas consecutivas:</t>
  </si>
  <si>
    <t xml:space="preserve">Órdenes</t>
  </si>
  <si>
    <t xml:space="preserve">Hora de apertura</t>
  </si>
  <si>
    <t xml:space="preserve">Orden</t>
  </si>
  <si>
    <t xml:space="preserve">Símbolo</t>
  </si>
  <si>
    <t xml:space="preserve">Tipo</t>
  </si>
  <si>
    <t xml:space="preserve">Volumen </t>
  </si>
  <si>
    <t xml:space="preserve">Precio</t>
  </si>
  <si>
    <t xml:space="preserve">S / L</t>
  </si>
  <si>
    <t xml:space="preserve">T / P</t>
  </si>
  <si>
    <t xml:space="preserve">Fecha/Hora</t>
  </si>
  <si>
    <t xml:space="preserve">Estado</t>
  </si>
  <si>
    <t xml:space="preserve">Comentario</t>
  </si>
  <si>
    <t xml:space="preserve">2024.01.24 05:00:00</t>
  </si>
  <si>
    <t xml:space="preserve">sell</t>
  </si>
  <si>
    <t xml:space="preserve">0.11 / 0.11</t>
  </si>
  <si>
    <t xml:space="preserve">filled</t>
  </si>
  <si>
    <t xml:space="preserve">CRITERIO 2. C2-Rompimiento SHOR</t>
  </si>
  <si>
    <t xml:space="preserve">2024.01.24 15:05:40</t>
  </si>
  <si>
    <t xml:space="preserve">buy</t>
  </si>
  <si>
    <t xml:space="preserve">sl 2034.50</t>
  </si>
  <si>
    <t xml:space="preserve">2024.02.02 05:00:00</t>
  </si>
  <si>
    <t xml:space="preserve">0.2 / 0.2</t>
  </si>
  <si>
    <t xml:space="preserve">2024.02.02 15:30:40</t>
  </si>
  <si>
    <t xml:space="preserve">tp 2048.14</t>
  </si>
  <si>
    <t xml:space="preserve">2024.03.18 05:00:00</t>
  </si>
  <si>
    <t xml:space="preserve">0.16 / 0.16</t>
  </si>
  <si>
    <t xml:space="preserve">2024.03.18 14:05:40</t>
  </si>
  <si>
    <t xml:space="preserve">sl 2159.50</t>
  </si>
  <si>
    <t xml:space="preserve">2024.05.23 05:00:00</t>
  </si>
  <si>
    <t xml:space="preserve">0.18 / 0.18</t>
  </si>
  <si>
    <t xml:space="preserve">2024.05.23 08:38:40</t>
  </si>
  <si>
    <t xml:space="preserve">tp 2366.62</t>
  </si>
  <si>
    <t xml:space="preserve">2024.06.10 05:00:00</t>
  </si>
  <si>
    <t xml:space="preserve">0.17 / 0.17</t>
  </si>
  <si>
    <t xml:space="preserve">2024.06.10 09:29:40</t>
  </si>
  <si>
    <t xml:space="preserve">tp 2290.72</t>
  </si>
  <si>
    <t xml:space="preserve">Transacciones</t>
  </si>
  <si>
    <t xml:space="preserve">Transacción</t>
  </si>
  <si>
    <t xml:space="preserve">Dirección</t>
  </si>
  <si>
    <t xml:space="preserve">Comisión</t>
  </si>
  <si>
    <t xml:space="preserve">Swap</t>
  </si>
  <si>
    <t xml:space="preserve">Beneficio</t>
  </si>
  <si>
    <t xml:space="preserve">Balance</t>
  </si>
  <si>
    <t xml:space="preserve">2024.01.01 00:00:00</t>
  </si>
  <si>
    <t xml:space="preserve">balance</t>
  </si>
  <si>
    <t xml:space="preserve">in</t>
  </si>
  <si>
    <t xml:space="preserve">0.11</t>
  </si>
  <si>
    <t xml:space="preserve">out</t>
  </si>
  <si>
    <t xml:space="preserve">0.2</t>
  </si>
  <si>
    <t xml:space="preserve">0.16</t>
  </si>
  <si>
    <t xml:space="preserve">0.18</t>
  </si>
  <si>
    <t xml:space="preserve">0.17</t>
  </si>
  <si>
    <t xml:space="preserve">velaReferenciaBucle=1</t>
  </si>
  <si>
    <t xml:space="preserve">OperacionesCriterio1=false</t>
  </si>
  <si>
    <t xml:space="preserve">OperacionesCriterio2=true</t>
  </si>
  <si>
    <t xml:space="preserve">OperacionesCriterio3=false</t>
  </si>
  <si>
    <t xml:space="preserve">217.72 (2.15%)</t>
  </si>
  <si>
    <t xml:space="preserve">271.48 (2.68%)</t>
  </si>
  <si>
    <t xml:space="preserve">2.15% (217.72)</t>
  </si>
  <si>
    <t xml:space="preserve">2.68% (271.48)</t>
  </si>
  <si>
    <t xml:space="preserve">24512550.00%</t>
  </si>
  <si>
    <t xml:space="preserve">-0.21 (16.63%)</t>
  </si>
  <si>
    <t xml:space="preserve">1.0030 (0.30%)</t>
  </si>
  <si>
    <t xml:space="preserve">1.0029 (0.29%)</t>
  </si>
  <si>
    <t xml:space="preserve">3:07:40</t>
  </si>
  <si>
    <t xml:space="preserve">5:20:17</t>
  </si>
  <si>
    <t xml:space="preserve">6 (66.67%)</t>
  </si>
  <si>
    <t xml:space="preserve">2 (50.00%)</t>
  </si>
  <si>
    <t xml:space="preserve">5 (62.50%)</t>
  </si>
  <si>
    <t xml:space="preserve">3 (37.50%)</t>
  </si>
  <si>
    <t xml:space="preserve">3 (345.04)</t>
  </si>
  <si>
    <t xml:space="preserve">2 (-217.72)</t>
  </si>
  <si>
    <t xml:space="preserve">345.04 (3)</t>
  </si>
  <si>
    <t xml:space="preserve">-217.72 (2)</t>
  </si>
  <si>
    <t xml:space="preserve">2024.01.17 05:00:00</t>
  </si>
  <si>
    <t xml:space="preserve">CRITERIO 2. C2-Rompimiento LONG</t>
  </si>
  <si>
    <t xml:space="preserve">2024.01.17 08:07:40</t>
  </si>
  <si>
    <t xml:space="preserve">sl 2018.50</t>
  </si>
  <si>
    <t xml:space="preserve">2024.03.05 08:00:00</t>
  </si>
  <si>
    <t xml:space="preserve">2024.03.05 11:27:40</t>
  </si>
  <si>
    <t xml:space="preserve">tp 2124.96</t>
  </si>
  <si>
    <t xml:space="preserve">2024.03.27 05:00:00</t>
  </si>
  <si>
    <t xml:space="preserve">0.12 / 0.12</t>
  </si>
  <si>
    <t xml:space="preserve">2024.03.27 12:43:40</t>
  </si>
  <si>
    <t xml:space="preserve">sl 2184.50</t>
  </si>
  <si>
    <t xml:space="preserve">2024.05.17 05:00:00</t>
  </si>
  <si>
    <t xml:space="preserve">2024.05.17 09:17:40</t>
  </si>
  <si>
    <t xml:space="preserve">sl 2384.50</t>
  </si>
  <si>
    <t xml:space="preserve">2024.07.12 05:00:00</t>
  </si>
  <si>
    <t xml:space="preserve">2024.07.12 10:26:40</t>
  </si>
  <si>
    <t xml:space="preserve">tp 2401.32</t>
  </si>
  <si>
    <t xml:space="preserve">0.12</t>
  </si>
  <si>
    <t xml:space="preserve">CRITERIO 2</t>
  </si>
  <si>
    <t xml:space="preserve">Sin condicion TDI</t>
  </si>
  <si>
    <t xml:space="preserve">Casos posibles</t>
  </si>
  <si>
    <t xml:space="preserve">Con condicion TDI</t>
  </si>
  <si>
    <t xml:space="preserve">Sin Criterio 3</t>
  </si>
  <si>
    <t xml:space="preserve">Combinado con Criterio 3</t>
  </si>
  <si>
    <t xml:space="preserve">operaciones</t>
  </si>
  <si>
    <t xml:space="preserve">mes</t>
  </si>
  <si>
    <t xml:space="preserve">dia</t>
  </si>
  <si>
    <t xml:space="preserve">Se da primero el bucle</t>
  </si>
  <si>
    <t xml:space="preserve">Win Rate</t>
  </si>
  <si>
    <t xml:space="preserve">angulo</t>
  </si>
  <si>
    <t xml:space="preserve">Formula para encontrar el angulo de m1 a m²</t>
  </si>
  <si>
    <t xml:space="preserve">Cruce bajista</t>
  </si>
  <si>
    <t xml:space="preserve">i-1</t>
  </si>
  <si>
    <t xml:space="preserve">i</t>
  </si>
  <si>
    <t xml:space="preserve">RSI</t>
  </si>
  <si>
    <t xml:space="preserve">m1 =</t>
  </si>
  <si>
    <t xml:space="preserve">TDI</t>
  </si>
  <si>
    <t xml:space="preserve">m2 =</t>
  </si>
  <si>
    <t xml:space="preserve">coeficiente =</t>
  </si>
  <si>
    <t xml:space="preserve">atan =</t>
  </si>
  <si>
    <t xml:space="preserve">Final =</t>
  </si>
  <si>
    <t xml:space="preserve">Cruce alcista</t>
  </si>
  <si>
    <t xml:space="preserve">si negativo sacar complemento</t>
  </si>
  <si>
    <t xml:space="preserve">Alfa =</t>
  </si>
  <si>
    <t xml:space="preserve">Cruce alcista con m1 y m2 igual que el cruce bajista no sale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</si>
</sst>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0.0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2"/>
    </font>
    <font>
      <sz val="10"/>
      <color rgb="FFC9211E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4A7EBB"/>
      <rgbColor rgb="FF969696"/>
      <rgbColor rgb="FF004586"/>
      <rgbColor rgb="FF579D1C"/>
      <rgbColor rgb="FF003300"/>
      <rgbColor rgb="FF314004"/>
      <rgbColor rgb="FFC9211E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1"/>
        <c:ser>
          <c:idx val="0"/>
          <c:order val="0"/>
          <c:tx>
            <c:strRef>
              <c:f>'C2. Con condicion TDI'!$A$1:$A$1</c:f>
              <c:strCache>
                <c:ptCount val="1"/>
                <c:pt idx="0">
                  <c:v>Informe del Probador de Estrategias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"/>
            <c:spPr>
              <a:solidFill>
                <a:srgbClr val="7e0021"/>
              </a:solidFill>
              <a:ln>
                <a:noFill/>
              </a:ln>
            </c:spPr>
          </c:dPt>
          <c:dPt>
            <c:idx val="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"/>
            <c:spPr>
              <a:solidFill>
                <a:srgbClr val="314004"/>
              </a:solidFill>
              <a:ln>
                <a:noFill/>
              </a:ln>
            </c:spPr>
          </c:dPt>
          <c:dPt>
            <c:idx val="7"/>
            <c:spPr>
              <a:solidFill>
                <a:srgbClr val="aecf00"/>
              </a:solidFill>
              <a:ln>
                <a:noFill/>
              </a:ln>
            </c:spPr>
          </c:dPt>
          <c:dPt>
            <c:idx val="8"/>
            <c:spPr>
              <a:solidFill>
                <a:srgbClr val="4b1f6f"/>
              </a:solidFill>
              <a:ln>
                <a:noFill/>
              </a:ln>
            </c:spPr>
          </c:dPt>
          <c:dPt>
            <c:idx val="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>
                <a:noFill/>
              </a:ln>
            </c:spPr>
          </c:dPt>
          <c:dLbls>
            <c:numFmt formatCode="#\ ##0.00;\-#\ ##0.00;0.00" sourceLinked="1"/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'C2. Con condicion TDI'!$A$153:$A$163</c:f>
              <c:strCache>
                <c:ptCount val="11"/>
                <c:pt idx="0">
                  <c:v>2024.01.01 00:00:00</c:v>
                </c:pt>
                <c:pt idx="1">
                  <c:v>2024.01.24 05:00:00</c:v>
                </c:pt>
                <c:pt idx="2">
                  <c:v>2024.01.24 15:05:40</c:v>
                </c:pt>
                <c:pt idx="3">
                  <c:v>2024.02.02 05:00:00</c:v>
                </c:pt>
                <c:pt idx="4">
                  <c:v>2024.02.02 15:30:40</c:v>
                </c:pt>
                <c:pt idx="5">
                  <c:v>2024.03.18 05:00:00</c:v>
                </c:pt>
                <c:pt idx="6">
                  <c:v>2024.03.18 14:05:40</c:v>
                </c:pt>
                <c:pt idx="7">
                  <c:v>2024.05.23 05:00:00</c:v>
                </c:pt>
                <c:pt idx="8">
                  <c:v>2024.05.23 08:38:40</c:v>
                </c:pt>
                <c:pt idx="9">
                  <c:v>2024.06.10 05:00:00</c:v>
                </c:pt>
                <c:pt idx="10">
                  <c:v>2024.06.10 09:29:40</c:v>
                </c:pt>
              </c:strCache>
            </c:strRef>
          </c:cat>
          <c:val>
            <c:numRef>
              <c:f>'C2. Con condicion TDI'!$L$153:$L$163</c:f>
              <c:numCache>
                <c:formatCode>General</c:formatCode>
                <c:ptCount val="11"/>
                <c:pt idx="0">
                  <c:v>10000</c:v>
                </c:pt>
                <c:pt idx="1">
                  <c:v>10000</c:v>
                </c:pt>
                <c:pt idx="2">
                  <c:v>9886.26</c:v>
                </c:pt>
                <c:pt idx="3">
                  <c:v>9886.26</c:v>
                </c:pt>
                <c:pt idx="4">
                  <c:v>9999.86</c:v>
                </c:pt>
                <c:pt idx="5">
                  <c:v>9999.86</c:v>
                </c:pt>
                <c:pt idx="6">
                  <c:v>9885.14</c:v>
                </c:pt>
                <c:pt idx="7">
                  <c:v>9885.14</c:v>
                </c:pt>
                <c:pt idx="8">
                  <c:v>10000.34</c:v>
                </c:pt>
                <c:pt idx="9">
                  <c:v>10000.34</c:v>
                </c:pt>
                <c:pt idx="10">
                  <c:v>10117.47</c:v>
                </c:pt>
              </c:numCache>
            </c:numRef>
          </c:val>
          <c:smooth val="1"/>
        </c:ser>
        <c:hiLowLines>
          <c:spPr>
            <a:ln>
              <a:noFill/>
            </a:ln>
          </c:spPr>
        </c:hiLowLines>
        <c:marker val="0"/>
        <c:axId val="88389511"/>
        <c:axId val="48350112"/>
      </c:lineChart>
      <c:catAx>
        <c:axId val="88389511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48350112"/>
        <c:crosses val="autoZero"/>
        <c:auto val="1"/>
        <c:lblAlgn val="ctr"/>
        <c:lblOffset val="100"/>
      </c:catAx>
      <c:valAx>
        <c:axId val="48350112"/>
        <c:scaling>
          <c:orientation val="minMax"/>
          <c:max val="11129"/>
          <c:min val="8897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8838951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28440">
                <a:solidFill>
                  <a:srgbClr val="004586"/>
                </a:solidFill>
                <a:round/>
              </a:ln>
            </c:spPr>
          </c:dPt>
          <c:dPt>
            <c:idx val="1"/>
            <c:spPr>
              <a:solidFill>
                <a:srgbClr val="ff420e"/>
              </a:solidFill>
              <a:ln w="28440">
                <a:solidFill>
                  <a:srgbClr val="ff420e"/>
                </a:solidFill>
                <a:round/>
              </a:ln>
            </c:spPr>
          </c:dPt>
          <c:dPt>
            <c:idx val="2"/>
            <c:spPr>
              <a:solidFill>
                <a:srgbClr val="ffd320"/>
              </a:solidFill>
              <a:ln w="28440">
                <a:solidFill>
                  <a:srgbClr val="ffd320"/>
                </a:solidFill>
                <a:round/>
              </a:ln>
            </c:spPr>
          </c:dPt>
          <c:dPt>
            <c:idx val="3"/>
            <c:spPr>
              <a:solidFill>
                <a:srgbClr val="579d1c"/>
              </a:solidFill>
              <a:ln w="28440">
                <a:solidFill>
                  <a:srgbClr val="579d1c"/>
                </a:solidFill>
                <a:round/>
              </a:ln>
            </c:spPr>
          </c:dPt>
          <c:dPt>
            <c:idx val="4"/>
            <c:spPr>
              <a:solidFill>
                <a:srgbClr val="7e0021"/>
              </a:solidFill>
              <a:ln w="28440">
                <a:solidFill>
                  <a:srgbClr val="7e0021"/>
                </a:solidFill>
                <a:round/>
              </a:ln>
            </c:spPr>
          </c:dPt>
          <c:dPt>
            <c:idx val="5"/>
            <c:spPr>
              <a:solidFill>
                <a:srgbClr val="83caff"/>
              </a:solidFill>
              <a:ln w="28440">
                <a:solidFill>
                  <a:srgbClr val="83caff"/>
                </a:solidFill>
                <a:round/>
              </a:ln>
            </c:spPr>
          </c:dPt>
          <c:dPt>
            <c:idx val="6"/>
            <c:spPr>
              <a:solidFill>
                <a:srgbClr val="314004"/>
              </a:solidFill>
              <a:ln w="28440">
                <a:solidFill>
                  <a:srgbClr val="314004"/>
                </a:solidFill>
                <a:round/>
              </a:ln>
            </c:spPr>
          </c:dPt>
          <c:dPt>
            <c:idx val="7"/>
            <c:spPr>
              <a:solidFill>
                <a:srgbClr val="aecf00"/>
              </a:solidFill>
              <a:ln w="28440">
                <a:solidFill>
                  <a:srgbClr val="aecf00"/>
                </a:solidFill>
                <a:round/>
              </a:ln>
            </c:spPr>
          </c:dPt>
          <c:dPt>
            <c:idx val="8"/>
            <c:spPr>
              <a:solidFill>
                <a:srgbClr val="4b1f6f"/>
              </a:solidFill>
              <a:ln w="28440">
                <a:solidFill>
                  <a:srgbClr val="4b1f6f"/>
                </a:solidFill>
                <a:round/>
              </a:ln>
            </c:spPr>
          </c:dPt>
          <c:dPt>
            <c:idx val="9"/>
            <c:spPr>
              <a:solidFill>
                <a:srgbClr val="ff950e"/>
              </a:solidFill>
              <a:ln w="28440">
                <a:solidFill>
                  <a:srgbClr val="ff950e"/>
                </a:solidFill>
                <a:round/>
              </a:ln>
            </c:spPr>
          </c:dPt>
          <c:dPt>
            <c:idx val="10"/>
            <c:spPr>
              <a:solidFill>
                <a:srgbClr val="c5000b"/>
              </a:solidFill>
              <a:ln w="28440">
                <a:solidFill>
                  <a:srgbClr val="c5000b"/>
                </a:solidFill>
                <a:round/>
              </a:ln>
            </c:spPr>
          </c:dPt>
          <c:dPt>
            <c:idx val="11"/>
            <c:spPr>
              <a:solidFill>
                <a:srgbClr val="0084d1"/>
              </a:solidFill>
              <a:ln w="28440">
                <a:solidFill>
                  <a:srgbClr val="0084d1"/>
                </a:solidFill>
                <a:round/>
              </a:ln>
            </c:spPr>
          </c:dPt>
          <c:dPt>
            <c:idx val="12"/>
            <c:spPr>
              <a:solidFill>
                <a:srgbClr val="004586"/>
              </a:solidFill>
              <a:ln w="28440">
                <a:solidFill>
                  <a:srgbClr val="004586"/>
                </a:solidFill>
                <a:round/>
              </a:ln>
            </c:spPr>
          </c:dPt>
          <c:dPt>
            <c:idx val="13"/>
            <c:spPr>
              <a:solidFill>
                <a:srgbClr val="ff420e"/>
              </a:solidFill>
              <a:ln w="28440">
                <a:solidFill>
                  <a:srgbClr val="ff420e"/>
                </a:solidFill>
                <a:round/>
              </a:ln>
            </c:spPr>
          </c:dPt>
          <c:dPt>
            <c:idx val="14"/>
            <c:spPr>
              <a:solidFill>
                <a:srgbClr val="ffd320"/>
              </a:solidFill>
              <a:ln w="28440">
                <a:solidFill>
                  <a:srgbClr val="ffd320"/>
                </a:solidFill>
                <a:round/>
              </a:ln>
            </c:spPr>
          </c:dPt>
          <c:dPt>
            <c:idx val="15"/>
            <c:spPr>
              <a:solidFill>
                <a:srgbClr val="579d1c"/>
              </a:solidFill>
              <a:ln w="28440">
                <a:solidFill>
                  <a:srgbClr val="579d1c"/>
                </a:solidFill>
                <a:round/>
              </a:ln>
            </c:spPr>
          </c:dPt>
          <c:dPt>
            <c:idx val="16"/>
            <c:spPr>
              <a:solidFill>
                <a:srgbClr val="7e0021"/>
              </a:solidFill>
              <a:ln w="28440">
                <a:solidFill>
                  <a:srgbClr val="7e0021"/>
                </a:solidFill>
                <a:round/>
              </a:ln>
            </c:spPr>
          </c:dPt>
          <c:dLbls>
            <c:numFmt formatCode="#\ ##0.00;\-#\ ##0.00;0.00" sourceLinked="1"/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'C2. Sin condicion TDI'!$A$163:$A$179</c:f>
              <c:strCache>
                <c:ptCount val="17"/>
                <c:pt idx="0">
                  <c:v>2024.01.01 00:00:00</c:v>
                </c:pt>
                <c:pt idx="1">
                  <c:v>2024.01.17 05:00:00</c:v>
                </c:pt>
                <c:pt idx="2">
                  <c:v>2024.01.17 08:07:40</c:v>
                </c:pt>
                <c:pt idx="3">
                  <c:v>2024.02.02 05:00:00</c:v>
                </c:pt>
                <c:pt idx="4">
                  <c:v>2024.02.02 15:30:40</c:v>
                </c:pt>
                <c:pt idx="5">
                  <c:v>2024.03.05 08:00:00</c:v>
                </c:pt>
                <c:pt idx="6">
                  <c:v>2024.03.05 11:27:40</c:v>
                </c:pt>
                <c:pt idx="7">
                  <c:v>2024.03.27 05:00:00</c:v>
                </c:pt>
                <c:pt idx="8">
                  <c:v>2024.03.27 12:43:40</c:v>
                </c:pt>
                <c:pt idx="9">
                  <c:v>2024.05.17 05:00:00</c:v>
                </c:pt>
                <c:pt idx="10">
                  <c:v>2024.05.17 09:17:40</c:v>
                </c:pt>
                <c:pt idx="11">
                  <c:v>2024.05.23 05:00:00</c:v>
                </c:pt>
                <c:pt idx="12">
                  <c:v>2024.05.23 08:38:40</c:v>
                </c:pt>
                <c:pt idx="13">
                  <c:v>2024.06.10 05:00:00</c:v>
                </c:pt>
                <c:pt idx="14">
                  <c:v>2024.06.10 09:29:40</c:v>
                </c:pt>
                <c:pt idx="15">
                  <c:v>2024.07.12 05:00:00</c:v>
                </c:pt>
                <c:pt idx="16">
                  <c:v>2024.07.12 10:26:40</c:v>
                </c:pt>
              </c:strCache>
            </c:strRef>
          </c:cat>
          <c:val>
            <c:numRef>
              <c:f>'C2. Sin condicion TDI'!$L$163:$L$179</c:f>
              <c:numCache>
                <c:formatCode>General</c:formatCode>
                <c:ptCount val="17"/>
                <c:pt idx="0">
                  <c:v>10000</c:v>
                </c:pt>
                <c:pt idx="1">
                  <c:v>10000</c:v>
                </c:pt>
                <c:pt idx="2">
                  <c:v>9883.62</c:v>
                </c:pt>
                <c:pt idx="3">
                  <c:v>9883.62</c:v>
                </c:pt>
                <c:pt idx="4">
                  <c:v>9997.22</c:v>
                </c:pt>
                <c:pt idx="5">
                  <c:v>9997.22</c:v>
                </c:pt>
                <c:pt idx="6">
                  <c:v>10110.02</c:v>
                </c:pt>
                <c:pt idx="7">
                  <c:v>10110.02</c:v>
                </c:pt>
                <c:pt idx="8">
                  <c:v>9997.7</c:v>
                </c:pt>
                <c:pt idx="9">
                  <c:v>9997.7</c:v>
                </c:pt>
                <c:pt idx="10">
                  <c:v>9892.3</c:v>
                </c:pt>
                <c:pt idx="11">
                  <c:v>9892.3</c:v>
                </c:pt>
                <c:pt idx="12">
                  <c:v>10007.5</c:v>
                </c:pt>
                <c:pt idx="13">
                  <c:v>10007.5</c:v>
                </c:pt>
                <c:pt idx="14">
                  <c:v>10124.63</c:v>
                </c:pt>
                <c:pt idx="15">
                  <c:v>10124.63</c:v>
                </c:pt>
                <c:pt idx="16">
                  <c:v>10237.34</c:v>
                </c:pt>
              </c:numCache>
            </c:numRef>
          </c:val>
          <c:smooth val="1"/>
        </c:ser>
        <c:hiLowLines>
          <c:spPr>
            <a:ln>
              <a:noFill/>
            </a:ln>
          </c:spPr>
        </c:hiLowLines>
        <c:marker val="0"/>
        <c:axId val="76309952"/>
        <c:axId val="27050055"/>
      </c:lineChart>
      <c:catAx>
        <c:axId val="76309952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27050055"/>
        <c:crosses val="autoZero"/>
        <c:auto val="1"/>
        <c:lblAlgn val="ctr"/>
        <c:lblOffset val="100"/>
      </c:catAx>
      <c:valAx>
        <c:axId val="27050055"/>
        <c:scaling>
          <c:orientation val="minMax"/>
          <c:max val="11261"/>
          <c:min val="8895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7630995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117</xdr:row>
      <xdr:rowOff>0</xdr:rowOff>
    </xdr:from>
    <xdr:to>
      <xdr:col>12</xdr:col>
      <xdr:colOff>610200</xdr:colOff>
      <xdr:row>136</xdr:row>
      <xdr:rowOff>189720</xdr:rowOff>
    </xdr:to>
    <xdr:graphicFrame>
      <xdr:nvGraphicFramePr>
        <xdr:cNvPr id="0" name="Chart 1"/>
        <xdr:cNvGraphicFramePr/>
      </xdr:nvGraphicFramePr>
      <xdr:xfrm>
        <a:off x="0" y="22669200"/>
        <a:ext cx="877788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121</xdr:row>
      <xdr:rowOff>0</xdr:rowOff>
    </xdr:from>
    <xdr:to>
      <xdr:col>12</xdr:col>
      <xdr:colOff>610200</xdr:colOff>
      <xdr:row>140</xdr:row>
      <xdr:rowOff>189720</xdr:rowOff>
    </xdr:to>
    <xdr:graphicFrame>
      <xdr:nvGraphicFramePr>
        <xdr:cNvPr id="1" name="Chart 1"/>
        <xdr:cNvGraphicFramePr/>
      </xdr:nvGraphicFramePr>
      <xdr:xfrm>
        <a:off x="0" y="23431320"/>
        <a:ext cx="8777880" cy="380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16</xdr:col>
      <xdr:colOff>205200</xdr:colOff>
      <xdr:row>21</xdr:row>
      <xdr:rowOff>130320</xdr:rowOff>
    </xdr:from>
    <xdr:to>
      <xdr:col>18</xdr:col>
      <xdr:colOff>659160</xdr:colOff>
      <xdr:row>34</xdr:row>
      <xdr:rowOff>21600</xdr:rowOff>
    </xdr:to>
    <xdr:pic>
      <xdr:nvPicPr>
        <xdr:cNvPr id="2" name="Imagen 1" descr=""/>
        <xdr:cNvPicPr/>
      </xdr:nvPicPr>
      <xdr:blipFill>
        <a:blip r:embed="rId1"/>
        <a:stretch/>
      </xdr:blipFill>
      <xdr:spPr>
        <a:xfrm>
          <a:off x="13205520" y="3543840"/>
          <a:ext cx="2079360" cy="20044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19</xdr:col>
      <xdr:colOff>106560</xdr:colOff>
      <xdr:row>20</xdr:row>
      <xdr:rowOff>118440</xdr:rowOff>
    </xdr:from>
    <xdr:to>
      <xdr:col>22</xdr:col>
      <xdr:colOff>323640</xdr:colOff>
      <xdr:row>35</xdr:row>
      <xdr:rowOff>68040</xdr:rowOff>
    </xdr:to>
    <xdr:pic>
      <xdr:nvPicPr>
        <xdr:cNvPr id="3" name="Imagen 2" descr=""/>
        <xdr:cNvPicPr/>
      </xdr:nvPicPr>
      <xdr:blipFill>
        <a:blip r:embed="rId2"/>
        <a:stretch/>
      </xdr:blipFill>
      <xdr:spPr>
        <a:xfrm>
          <a:off x="15545160" y="3369600"/>
          <a:ext cx="2655360" cy="23878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64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Q4" activeCellId="0" sqref="Q4"/>
    </sheetView>
  </sheetViews>
  <sheetFormatPr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4"/>
    <col collapsed="false" customWidth="true" hidden="false" outlineLevel="0" max="7" min="5" style="0" width="8.66"/>
    <col collapsed="false" customWidth="true" hidden="false" outlineLevel="0" max="9" min="8" style="0" width="10.82"/>
    <col collapsed="false" customWidth="true" hidden="false" outlineLevel="0" max="11" min="10" style="0" width="8.66"/>
    <col collapsed="false" customWidth="true" hidden="false" outlineLevel="0" max="12" min="12" style="0" width="9.74"/>
    <col collapsed="false" customWidth="true" hidden="false" outlineLevel="0" max="13" min="13" style="0" width="8.66"/>
    <col collapsed="false" customWidth="true" hidden="false" outlineLevel="0" max="14" min="14" style="0" width="1.08"/>
    <col collapsed="false" customWidth="true" hidden="false" outlineLevel="0" max="1025" min="15" style="0" width="9.32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29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32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33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10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34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35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36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37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38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10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39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41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42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43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44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10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47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48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49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51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52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53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54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55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D57" s="5" t="s">
        <v>56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D58" s="5" t="s">
        <v>57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true" outlineLevel="0" collapsed="false">
      <c r="D60" s="5" t="s">
        <v>59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true" outlineLevel="0" collapsed="false"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true" outlineLevel="0" collapsed="false"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true" outlineLevel="0" collapsed="false">
      <c r="D63" s="5" t="s">
        <v>62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true" outlineLevel="0" collapsed="false">
      <c r="D64" s="5" t="s">
        <v>63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true" outlineLevel="0" collapsed="false">
      <c r="D65" s="5" t="s">
        <v>64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true" outlineLevel="0" collapsed="false">
      <c r="D66" s="5" t="s">
        <v>65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true" outlineLevel="0" collapsed="false">
      <c r="D67" s="5" t="s">
        <v>66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true" outlineLevel="0" collapsed="false">
      <c r="D68" s="5" t="s">
        <v>67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true" outlineLevel="0" collapsed="false">
      <c r="D69" s="5" t="s">
        <v>68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true" outlineLevel="0" collapsed="false"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true" outlineLevel="0" collapsed="false">
      <c r="D71" s="5" t="s">
        <v>70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D72" s="5" t="s">
        <v>71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true" outlineLevel="0" collapsed="false">
      <c r="D73" s="5" t="s">
        <v>72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true" outlineLevel="0" collapsed="false">
      <c r="D74" s="5" t="s">
        <v>73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true" outlineLevel="0" collapsed="false">
      <c r="D75" s="5" t="s">
        <v>74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true" outlineLevel="0" collapsed="false">
      <c r="D76" s="5" t="s">
        <v>75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true" outlineLevel="0" collapsed="false">
      <c r="D77" s="5" t="s">
        <v>76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true" outlineLevel="0" collapsed="false">
      <c r="D78" s="5" t="s">
        <v>77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true" outlineLevel="0" collapsed="false">
      <c r="D79" s="5" t="s">
        <v>78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true" outlineLevel="0" collapsed="false">
      <c r="D80" s="5" t="s">
        <v>79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true" outlineLevel="0" collapsed="false">
      <c r="D81" s="5" t="s">
        <v>80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true" outlineLevel="0" collapsed="false">
      <c r="D82" s="5" t="s">
        <v>81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true" outlineLevel="0" collapsed="false">
      <c r="D83" s="5" t="s">
        <v>10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true" outlineLevel="0" collapsed="false">
      <c r="D84" s="5" t="s">
        <v>82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D85" s="5" t="s">
        <v>83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true" outlineLevel="0" collapsed="false">
      <c r="D86" s="5" t="s">
        <v>84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true" outlineLevel="0" collapsed="false">
      <c r="D87" s="5" t="s">
        <v>85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true" outlineLevel="0" collapsed="false">
      <c r="D88" s="5" t="s">
        <v>86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true" outlineLevel="0" collapsed="false">
      <c r="D89" s="5" t="s">
        <v>87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true" outlineLevel="0" collapsed="false">
      <c r="D90" s="5" t="s">
        <v>88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true" outlineLevel="0" collapsed="false">
      <c r="A91" s="4" t="s">
        <v>89</v>
      </c>
      <c r="B91" s="4"/>
      <c r="C91" s="4"/>
      <c r="D91" s="5" t="s">
        <v>90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true" outlineLevel="0" collapsed="false">
      <c r="A92" s="4" t="s">
        <v>91</v>
      </c>
      <c r="B92" s="4"/>
      <c r="C92" s="4"/>
      <c r="D92" s="5" t="s">
        <v>92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true" outlineLevel="0" collapsed="false">
      <c r="A93" s="4" t="s">
        <v>93</v>
      </c>
      <c r="B93" s="4"/>
      <c r="C93" s="4"/>
      <c r="D93" s="6" t="n">
        <v>10000</v>
      </c>
      <c r="E93" s="6"/>
      <c r="F93" s="6"/>
      <c r="G93" s="6"/>
      <c r="H93" s="6"/>
      <c r="I93" s="6"/>
      <c r="J93" s="6"/>
      <c r="K93" s="6"/>
      <c r="L93" s="6"/>
      <c r="M93" s="6"/>
      <c r="N93" s="6"/>
    </row>
    <row r="94" customFormat="false" ht="15" hidden="false" customHeight="true" outlineLevel="0" collapsed="false">
      <c r="A94" s="4" t="s">
        <v>94</v>
      </c>
      <c r="B94" s="4"/>
      <c r="C94" s="4"/>
      <c r="D94" s="5" t="s">
        <v>95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25" hidden="false" customHeight="true" outlineLevel="0" collapsed="false">
      <c r="A95" s="3" t="s">
        <v>96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true" outlineLevel="0" collapsed="false">
      <c r="A96" s="4" t="s">
        <v>97</v>
      </c>
      <c r="B96" s="4"/>
      <c r="C96" s="4"/>
      <c r="D96" s="7" t="s">
        <v>98</v>
      </c>
    </row>
    <row r="97" customFormat="false" ht="15" hidden="false" customHeight="true" outlineLevel="0" collapsed="false">
      <c r="A97" s="4" t="s">
        <v>99</v>
      </c>
      <c r="B97" s="4"/>
      <c r="C97" s="4"/>
      <c r="D97" s="8" t="n">
        <v>3279</v>
      </c>
      <c r="E97" s="4" t="s">
        <v>100</v>
      </c>
      <c r="F97" s="4"/>
      <c r="G97" s="4"/>
      <c r="H97" s="8" t="n">
        <v>784150</v>
      </c>
      <c r="I97" s="4" t="s">
        <v>101</v>
      </c>
      <c r="J97" s="4"/>
      <c r="K97" s="4"/>
      <c r="L97" s="8" t="n">
        <v>1</v>
      </c>
      <c r="M97" s="8"/>
      <c r="N97" s="8"/>
    </row>
    <row r="98" customFormat="false" ht="15" hidden="false" customHeight="true" outlineLevel="0" collapsed="false">
      <c r="A98" s="4" t="s">
        <v>102</v>
      </c>
      <c r="B98" s="4"/>
      <c r="C98" s="4"/>
      <c r="D98" s="9" t="n">
        <v>117.47</v>
      </c>
      <c r="E98" s="4" t="s">
        <v>103</v>
      </c>
      <c r="F98" s="4"/>
      <c r="G98" s="4"/>
      <c r="H98" s="9" t="n">
        <v>114.86</v>
      </c>
      <c r="I98" s="4" t="s">
        <v>104</v>
      </c>
      <c r="J98" s="4"/>
      <c r="K98" s="4"/>
      <c r="L98" s="9" t="n">
        <v>192.34</v>
      </c>
      <c r="M98" s="9"/>
      <c r="N98" s="9"/>
    </row>
    <row r="99" customFormat="false" ht="15" hidden="false" customHeight="true" outlineLevel="0" collapsed="false">
      <c r="A99" s="4" t="s">
        <v>105</v>
      </c>
      <c r="B99" s="4"/>
      <c r="C99" s="4"/>
      <c r="D99" s="9" t="n">
        <v>345.93</v>
      </c>
      <c r="E99" s="4" t="s">
        <v>106</v>
      </c>
      <c r="F99" s="4"/>
      <c r="G99" s="4"/>
      <c r="H99" s="7" t="s">
        <v>107</v>
      </c>
      <c r="I99" s="4" t="s">
        <v>108</v>
      </c>
      <c r="J99" s="4"/>
      <c r="K99" s="4"/>
      <c r="L99" s="7" t="s">
        <v>109</v>
      </c>
      <c r="M99" s="7"/>
      <c r="N99" s="7"/>
    </row>
    <row r="100" customFormat="false" ht="15" hidden="false" customHeight="true" outlineLevel="0" collapsed="false">
      <c r="A100" s="4" t="s">
        <v>110</v>
      </c>
      <c r="B100" s="4"/>
      <c r="C100" s="4"/>
      <c r="D100" s="9" t="n">
        <v>-228.46</v>
      </c>
      <c r="E100" s="4" t="s">
        <v>111</v>
      </c>
      <c r="F100" s="4"/>
      <c r="G100" s="4"/>
      <c r="H100" s="7" t="s">
        <v>112</v>
      </c>
      <c r="I100" s="4" t="s">
        <v>113</v>
      </c>
      <c r="J100" s="4"/>
      <c r="K100" s="4"/>
      <c r="L100" s="7" t="s">
        <v>114</v>
      </c>
      <c r="M100" s="7"/>
      <c r="N100" s="7"/>
    </row>
    <row r="102" customFormat="false" ht="15" hidden="false" customHeight="true" outlineLevel="0" collapsed="false">
      <c r="A102" s="4" t="s">
        <v>115</v>
      </c>
      <c r="B102" s="4"/>
      <c r="C102" s="4"/>
      <c r="D102" s="9" t="n">
        <v>1.514182</v>
      </c>
      <c r="E102" s="4" t="s">
        <v>116</v>
      </c>
      <c r="F102" s="4"/>
      <c r="G102" s="4"/>
      <c r="H102" s="9" t="n">
        <v>23.494</v>
      </c>
      <c r="I102" s="4" t="s">
        <v>117</v>
      </c>
      <c r="J102" s="4"/>
      <c r="K102" s="4"/>
      <c r="L102" s="7" t="s">
        <v>118</v>
      </c>
      <c r="M102" s="7"/>
      <c r="N102" s="7"/>
    </row>
    <row r="103" customFormat="false" ht="15" hidden="false" customHeight="true" outlineLevel="0" collapsed="false">
      <c r="A103" s="4" t="s">
        <v>119</v>
      </c>
      <c r="B103" s="4"/>
      <c r="C103" s="4"/>
      <c r="D103" s="9" t="n">
        <v>0.445908</v>
      </c>
      <c r="E103" s="4" t="s">
        <v>120</v>
      </c>
      <c r="F103" s="4"/>
      <c r="G103" s="4"/>
      <c r="H103" s="9" t="n">
        <v>0.287112</v>
      </c>
      <c r="I103" s="4" t="s">
        <v>121</v>
      </c>
      <c r="J103" s="4"/>
      <c r="K103" s="4"/>
      <c r="L103" s="7" t="s">
        <v>122</v>
      </c>
      <c r="M103" s="7"/>
      <c r="N103" s="7"/>
    </row>
    <row r="104" customFormat="false" ht="15" hidden="false" customHeight="true" outlineLevel="0" collapsed="false">
      <c r="A104" s="4" t="s">
        <v>123</v>
      </c>
      <c r="B104" s="4"/>
      <c r="C104" s="4"/>
      <c r="D104" s="7" t="s">
        <v>124</v>
      </c>
      <c r="E104" s="4" t="s">
        <v>125</v>
      </c>
      <c r="F104" s="4"/>
      <c r="G104" s="4"/>
      <c r="H104" s="9" t="n">
        <v>0.599333</v>
      </c>
      <c r="I104" s="4" t="s">
        <v>126</v>
      </c>
      <c r="J104" s="4"/>
      <c r="K104" s="4"/>
      <c r="L104" s="7" t="s">
        <v>127</v>
      </c>
      <c r="M104" s="7"/>
      <c r="N104" s="7"/>
    </row>
    <row r="105" customFormat="false" ht="15" hidden="false" customHeight="true" outlineLevel="0" collapsed="false">
      <c r="A105" s="4" t="s">
        <v>128</v>
      </c>
      <c r="B105" s="4"/>
      <c r="C105" s="4"/>
      <c r="D105" s="7" t="s">
        <v>129</v>
      </c>
      <c r="E105" s="4" t="s">
        <v>130</v>
      </c>
      <c r="F105" s="4"/>
      <c r="G105" s="4"/>
      <c r="H105" s="9" t="n">
        <v>84.249823</v>
      </c>
    </row>
    <row r="107" customFormat="false" ht="15" hidden="false" customHeight="true" outlineLevel="0" collapsed="false">
      <c r="A107" s="4" t="s">
        <v>131</v>
      </c>
      <c r="B107" s="4"/>
      <c r="C107" s="4"/>
      <c r="D107" s="9" t="n">
        <v>0.756261</v>
      </c>
      <c r="E107" s="4" t="s">
        <v>132</v>
      </c>
      <c r="F107" s="4"/>
      <c r="G107" s="4"/>
      <c r="H107" s="9" t="n">
        <v>0.942657</v>
      </c>
      <c r="I107" s="4" t="s">
        <v>133</v>
      </c>
      <c r="J107" s="4"/>
      <c r="K107" s="4"/>
      <c r="L107" s="9" t="n">
        <v>0.564019</v>
      </c>
      <c r="M107" s="9"/>
      <c r="N107" s="9"/>
    </row>
    <row r="108" customFormat="false" ht="15" hidden="false" customHeight="true" outlineLevel="0" collapsed="false">
      <c r="A108" s="4" t="s">
        <v>134</v>
      </c>
      <c r="B108" s="4"/>
      <c r="C108" s="4"/>
      <c r="D108" s="7" t="s">
        <v>135</v>
      </c>
      <c r="E108" s="4" t="s">
        <v>136</v>
      </c>
      <c r="F108" s="4"/>
      <c r="G108" s="4"/>
      <c r="H108" s="7" t="s">
        <v>137</v>
      </c>
      <c r="I108" s="4" t="s">
        <v>138</v>
      </c>
      <c r="J108" s="4"/>
      <c r="K108" s="4"/>
      <c r="L108" s="7" t="s">
        <v>139</v>
      </c>
      <c r="M108" s="7"/>
      <c r="N108" s="7"/>
    </row>
    <row r="110" customFormat="false" ht="15" hidden="false" customHeight="true" outlineLevel="0" collapsed="false">
      <c r="A110" s="4" t="s">
        <v>140</v>
      </c>
      <c r="B110" s="4"/>
      <c r="C110" s="4"/>
      <c r="D110" s="8" t="n">
        <v>5</v>
      </c>
      <c r="E110" s="4" t="s">
        <v>141</v>
      </c>
      <c r="F110" s="4"/>
      <c r="G110" s="4"/>
      <c r="H110" s="7" t="s">
        <v>142</v>
      </c>
      <c r="I110" s="4" t="s">
        <v>143</v>
      </c>
      <c r="J110" s="4"/>
      <c r="K110" s="4"/>
      <c r="L110" s="7" t="s">
        <v>144</v>
      </c>
      <c r="M110" s="7"/>
      <c r="N110" s="7"/>
    </row>
    <row r="111" customFormat="false" ht="15" hidden="false" customHeight="true" outlineLevel="0" collapsed="false">
      <c r="A111" s="4" t="s">
        <v>145</v>
      </c>
      <c r="B111" s="4"/>
      <c r="C111" s="4"/>
      <c r="D111" s="8" t="n">
        <v>10</v>
      </c>
      <c r="E111" s="4" t="s">
        <v>146</v>
      </c>
      <c r="F111" s="4"/>
      <c r="G111" s="4"/>
      <c r="H111" s="7" t="s">
        <v>147</v>
      </c>
      <c r="I111" s="4" t="s">
        <v>148</v>
      </c>
      <c r="J111" s="4"/>
      <c r="K111" s="4"/>
      <c r="L111" s="7" t="s">
        <v>149</v>
      </c>
      <c r="M111" s="7"/>
      <c r="N111" s="7"/>
    </row>
    <row r="112" customFormat="false" ht="15" hidden="false" customHeight="true" outlineLevel="0" collapsed="false">
      <c r="E112" s="4" t="s">
        <v>150</v>
      </c>
      <c r="F112" s="4"/>
      <c r="G112" s="4"/>
      <c r="H112" s="9" t="n">
        <v>117.13</v>
      </c>
      <c r="I112" s="4" t="s">
        <v>151</v>
      </c>
      <c r="J112" s="4"/>
      <c r="K112" s="4"/>
      <c r="L112" s="9" t="n">
        <v>-114.72</v>
      </c>
      <c r="M112" s="9"/>
      <c r="N112" s="9"/>
    </row>
    <row r="113" customFormat="false" ht="15" hidden="false" customHeight="true" outlineLevel="0" collapsed="false">
      <c r="E113" s="4" t="s">
        <v>152</v>
      </c>
      <c r="F113" s="4"/>
      <c r="G113" s="4"/>
      <c r="H113" s="9" t="n">
        <v>115.31</v>
      </c>
      <c r="I113" s="4" t="s">
        <v>153</v>
      </c>
      <c r="J113" s="4"/>
      <c r="K113" s="4"/>
      <c r="L113" s="9" t="n">
        <v>-114.23</v>
      </c>
      <c r="M113" s="9"/>
      <c r="N113" s="9"/>
    </row>
    <row r="114" customFormat="false" ht="15" hidden="false" customHeight="true" outlineLevel="0" collapsed="false">
      <c r="E114" s="4" t="s">
        <v>154</v>
      </c>
      <c r="F114" s="4"/>
      <c r="G114" s="4"/>
      <c r="H114" s="7" t="s">
        <v>155</v>
      </c>
      <c r="I114" s="4" t="s">
        <v>156</v>
      </c>
      <c r="J114" s="4"/>
      <c r="K114" s="4"/>
      <c r="L114" s="7" t="s">
        <v>157</v>
      </c>
      <c r="M114" s="7"/>
      <c r="N114" s="7"/>
    </row>
    <row r="115" customFormat="false" ht="15" hidden="false" customHeight="true" outlineLevel="0" collapsed="false">
      <c r="E115" s="4" t="s">
        <v>158</v>
      </c>
      <c r="F115" s="4"/>
      <c r="G115" s="4"/>
      <c r="H115" s="7" t="s">
        <v>159</v>
      </c>
      <c r="I115" s="4" t="s">
        <v>160</v>
      </c>
      <c r="J115" s="4"/>
      <c r="K115" s="4"/>
      <c r="L115" s="7" t="s">
        <v>161</v>
      </c>
      <c r="M115" s="7"/>
      <c r="N115" s="7"/>
    </row>
    <row r="116" customFormat="false" ht="15" hidden="false" customHeight="true" outlineLevel="0" collapsed="false">
      <c r="E116" s="4" t="s">
        <v>162</v>
      </c>
      <c r="F116" s="4"/>
      <c r="G116" s="4"/>
      <c r="H116" s="8" t="n">
        <v>2</v>
      </c>
      <c r="I116" s="4" t="s">
        <v>163</v>
      </c>
      <c r="J116" s="4"/>
      <c r="K116" s="4"/>
      <c r="L116" s="8" t="n">
        <v>1</v>
      </c>
      <c r="M116" s="8"/>
      <c r="N116" s="8"/>
    </row>
    <row r="139" customFormat="false" ht="20" hidden="false" customHeight="true" outlineLevel="0" collapsed="false">
      <c r="A139" s="3" t="s">
        <v>164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20" hidden="false" customHeight="true" outlineLevel="0" collapsed="false">
      <c r="A140" s="10" t="s">
        <v>165</v>
      </c>
      <c r="B140" s="10" t="s">
        <v>166</v>
      </c>
      <c r="C140" s="10" t="s">
        <v>167</v>
      </c>
      <c r="D140" s="10" t="s">
        <v>168</v>
      </c>
      <c r="E140" s="10" t="s">
        <v>169</v>
      </c>
      <c r="F140" s="10"/>
      <c r="G140" s="10" t="s">
        <v>170</v>
      </c>
      <c r="H140" s="10" t="s">
        <v>171</v>
      </c>
      <c r="I140" s="10" t="s">
        <v>172</v>
      </c>
      <c r="J140" s="10" t="s">
        <v>173</v>
      </c>
      <c r="K140" s="10"/>
      <c r="L140" s="10" t="s">
        <v>174</v>
      </c>
      <c r="M140" s="10" t="s">
        <v>175</v>
      </c>
      <c r="N140" s="10"/>
    </row>
    <row r="141" customFormat="false" ht="15" hidden="false" customHeight="true" outlineLevel="0" collapsed="false">
      <c r="A141" s="11" t="s">
        <v>176</v>
      </c>
      <c r="B141" s="12" t="n">
        <v>2</v>
      </c>
      <c r="C141" s="11" t="s">
        <v>6</v>
      </c>
      <c r="D141" s="11" t="s">
        <v>177</v>
      </c>
      <c r="E141" s="11" t="s">
        <v>178</v>
      </c>
      <c r="F141" s="11"/>
      <c r="G141" s="13" t="n">
        <v>0</v>
      </c>
      <c r="H141" s="13" t="n">
        <v>2034.5</v>
      </c>
      <c r="I141" s="13" t="n">
        <v>2013.84</v>
      </c>
      <c r="J141" s="11" t="s">
        <v>176</v>
      </c>
      <c r="K141" s="11"/>
      <c r="L141" s="11" t="s">
        <v>179</v>
      </c>
      <c r="M141" s="11" t="s">
        <v>180</v>
      </c>
      <c r="N141" s="11"/>
    </row>
    <row r="142" customFormat="false" ht="15" hidden="false" customHeight="true" outlineLevel="0" collapsed="false">
      <c r="A142" s="4" t="s">
        <v>181</v>
      </c>
      <c r="B142" s="14" t="n">
        <v>3</v>
      </c>
      <c r="C142" s="4" t="s">
        <v>6</v>
      </c>
      <c r="D142" s="4" t="s">
        <v>182</v>
      </c>
      <c r="E142" s="4" t="s">
        <v>178</v>
      </c>
      <c r="F142" s="4"/>
      <c r="G142" s="15" t="n">
        <v>0</v>
      </c>
      <c r="H142" s="4"/>
      <c r="I142" s="4"/>
      <c r="J142" s="4" t="s">
        <v>181</v>
      </c>
      <c r="K142" s="4"/>
      <c r="L142" s="4" t="s">
        <v>179</v>
      </c>
      <c r="M142" s="4" t="s">
        <v>183</v>
      </c>
      <c r="N142" s="4"/>
    </row>
    <row r="143" customFormat="false" ht="15" hidden="false" customHeight="true" outlineLevel="0" collapsed="false">
      <c r="A143" s="11" t="s">
        <v>184</v>
      </c>
      <c r="B143" s="12" t="n">
        <v>4</v>
      </c>
      <c r="C143" s="11" t="s">
        <v>6</v>
      </c>
      <c r="D143" s="11" t="s">
        <v>177</v>
      </c>
      <c r="E143" s="11" t="s">
        <v>185</v>
      </c>
      <c r="F143" s="11"/>
      <c r="G143" s="13" t="n">
        <v>0</v>
      </c>
      <c r="H143" s="13" t="n">
        <v>2059.5</v>
      </c>
      <c r="I143" s="13" t="n">
        <v>2048.14</v>
      </c>
      <c r="J143" s="11" t="s">
        <v>184</v>
      </c>
      <c r="K143" s="11"/>
      <c r="L143" s="11" t="s">
        <v>179</v>
      </c>
      <c r="M143" s="11" t="s">
        <v>180</v>
      </c>
      <c r="N143" s="11"/>
    </row>
    <row r="144" customFormat="false" ht="15" hidden="false" customHeight="true" outlineLevel="0" collapsed="false">
      <c r="A144" s="4" t="s">
        <v>186</v>
      </c>
      <c r="B144" s="14" t="n">
        <v>5</v>
      </c>
      <c r="C144" s="4" t="s">
        <v>6</v>
      </c>
      <c r="D144" s="4" t="s">
        <v>182</v>
      </c>
      <c r="E144" s="4" t="s">
        <v>185</v>
      </c>
      <c r="F144" s="4"/>
      <c r="G144" s="15" t="n">
        <v>0</v>
      </c>
      <c r="H144" s="4"/>
      <c r="I144" s="4"/>
      <c r="J144" s="4" t="s">
        <v>186</v>
      </c>
      <c r="K144" s="4"/>
      <c r="L144" s="4" t="s">
        <v>179</v>
      </c>
      <c r="M144" s="4" t="s">
        <v>187</v>
      </c>
      <c r="N144" s="4"/>
    </row>
    <row r="145" customFormat="false" ht="15" hidden="false" customHeight="true" outlineLevel="0" collapsed="false">
      <c r="A145" s="11" t="s">
        <v>188</v>
      </c>
      <c r="B145" s="12" t="n">
        <v>6</v>
      </c>
      <c r="C145" s="11" t="s">
        <v>6</v>
      </c>
      <c r="D145" s="11" t="s">
        <v>177</v>
      </c>
      <c r="E145" s="11" t="s">
        <v>189</v>
      </c>
      <c r="F145" s="11"/>
      <c r="G145" s="13" t="n">
        <v>0</v>
      </c>
      <c r="H145" s="13" t="n">
        <v>2159.5</v>
      </c>
      <c r="I145" s="13" t="n">
        <v>2145.1</v>
      </c>
      <c r="J145" s="11" t="s">
        <v>188</v>
      </c>
      <c r="K145" s="11"/>
      <c r="L145" s="11" t="s">
        <v>179</v>
      </c>
      <c r="M145" s="11" t="s">
        <v>180</v>
      </c>
      <c r="N145" s="11"/>
    </row>
    <row r="146" customFormat="false" ht="15" hidden="false" customHeight="true" outlineLevel="0" collapsed="false">
      <c r="A146" s="4" t="s">
        <v>190</v>
      </c>
      <c r="B146" s="14" t="n">
        <v>7</v>
      </c>
      <c r="C146" s="4" t="s">
        <v>6</v>
      </c>
      <c r="D146" s="4" t="s">
        <v>182</v>
      </c>
      <c r="E146" s="4" t="s">
        <v>189</v>
      </c>
      <c r="F146" s="4"/>
      <c r="G146" s="15" t="n">
        <v>0</v>
      </c>
      <c r="H146" s="4"/>
      <c r="I146" s="4"/>
      <c r="J146" s="4" t="s">
        <v>190</v>
      </c>
      <c r="K146" s="4"/>
      <c r="L146" s="4" t="s">
        <v>179</v>
      </c>
      <c r="M146" s="4" t="s">
        <v>191</v>
      </c>
      <c r="N146" s="4"/>
    </row>
    <row r="147" customFormat="false" ht="15" hidden="false" customHeight="true" outlineLevel="0" collapsed="false">
      <c r="A147" s="11" t="s">
        <v>192</v>
      </c>
      <c r="B147" s="12" t="n">
        <v>8</v>
      </c>
      <c r="C147" s="11" t="s">
        <v>6</v>
      </c>
      <c r="D147" s="11" t="s">
        <v>177</v>
      </c>
      <c r="E147" s="11" t="s">
        <v>193</v>
      </c>
      <c r="F147" s="11"/>
      <c r="G147" s="13" t="n">
        <v>0</v>
      </c>
      <c r="H147" s="13" t="n">
        <v>2379.5</v>
      </c>
      <c r="I147" s="13" t="n">
        <v>2366.62</v>
      </c>
      <c r="J147" s="11" t="s">
        <v>192</v>
      </c>
      <c r="K147" s="11"/>
      <c r="L147" s="11" t="s">
        <v>179</v>
      </c>
      <c r="M147" s="11" t="s">
        <v>180</v>
      </c>
      <c r="N147" s="11"/>
    </row>
    <row r="148" customFormat="false" ht="15" hidden="false" customHeight="true" outlineLevel="0" collapsed="false">
      <c r="A148" s="4" t="s">
        <v>194</v>
      </c>
      <c r="B148" s="14" t="n">
        <v>9</v>
      </c>
      <c r="C148" s="4" t="s">
        <v>6</v>
      </c>
      <c r="D148" s="4" t="s">
        <v>182</v>
      </c>
      <c r="E148" s="4" t="s">
        <v>193</v>
      </c>
      <c r="F148" s="4"/>
      <c r="G148" s="15" t="n">
        <v>0</v>
      </c>
      <c r="H148" s="4"/>
      <c r="I148" s="4"/>
      <c r="J148" s="4" t="s">
        <v>194</v>
      </c>
      <c r="K148" s="4"/>
      <c r="L148" s="4" t="s">
        <v>179</v>
      </c>
      <c r="M148" s="4" t="s">
        <v>195</v>
      </c>
      <c r="N148" s="4"/>
    </row>
    <row r="149" customFormat="false" ht="15" hidden="false" customHeight="true" outlineLevel="0" collapsed="false">
      <c r="A149" s="11" t="s">
        <v>196</v>
      </c>
      <c r="B149" s="12" t="n">
        <v>10</v>
      </c>
      <c r="C149" s="11" t="s">
        <v>6</v>
      </c>
      <c r="D149" s="11" t="s">
        <v>177</v>
      </c>
      <c r="E149" s="11" t="s">
        <v>197</v>
      </c>
      <c r="F149" s="11"/>
      <c r="G149" s="13" t="n">
        <v>0</v>
      </c>
      <c r="H149" s="13" t="n">
        <v>2304.5</v>
      </c>
      <c r="I149" s="13" t="n">
        <v>2290.72</v>
      </c>
      <c r="J149" s="11" t="s">
        <v>196</v>
      </c>
      <c r="K149" s="11"/>
      <c r="L149" s="11" t="s">
        <v>179</v>
      </c>
      <c r="M149" s="11" t="s">
        <v>180</v>
      </c>
      <c r="N149" s="11"/>
    </row>
    <row r="150" customFormat="false" ht="15" hidden="false" customHeight="true" outlineLevel="0" collapsed="false">
      <c r="A150" s="4" t="s">
        <v>198</v>
      </c>
      <c r="B150" s="14" t="n">
        <v>11</v>
      </c>
      <c r="C150" s="4" t="s">
        <v>6</v>
      </c>
      <c r="D150" s="4" t="s">
        <v>182</v>
      </c>
      <c r="E150" s="4" t="s">
        <v>197</v>
      </c>
      <c r="F150" s="4"/>
      <c r="G150" s="15" t="n">
        <v>0</v>
      </c>
      <c r="H150" s="4"/>
      <c r="I150" s="4"/>
      <c r="J150" s="4" t="s">
        <v>198</v>
      </c>
      <c r="K150" s="4"/>
      <c r="L150" s="4" t="s">
        <v>179</v>
      </c>
      <c r="M150" s="4" t="s">
        <v>199</v>
      </c>
      <c r="N150" s="4"/>
    </row>
    <row r="151" customFormat="false" ht="20" hidden="false" customHeight="true" outlineLevel="0" collapsed="false">
      <c r="A151" s="16" t="s">
        <v>200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customFormat="false" ht="20" hidden="false" customHeight="true" outlineLevel="0" collapsed="false">
      <c r="A152" s="10" t="s">
        <v>173</v>
      </c>
      <c r="B152" s="10" t="s">
        <v>201</v>
      </c>
      <c r="C152" s="10" t="s">
        <v>167</v>
      </c>
      <c r="D152" s="10" t="s">
        <v>168</v>
      </c>
      <c r="E152" s="10" t="s">
        <v>202</v>
      </c>
      <c r="F152" s="10" t="s">
        <v>169</v>
      </c>
      <c r="G152" s="10" t="s">
        <v>170</v>
      </c>
      <c r="H152" s="10" t="s">
        <v>166</v>
      </c>
      <c r="I152" s="10" t="s">
        <v>203</v>
      </c>
      <c r="J152" s="10" t="s">
        <v>204</v>
      </c>
      <c r="K152" s="10" t="s">
        <v>205</v>
      </c>
      <c r="L152" s="10" t="s">
        <v>206</v>
      </c>
      <c r="M152" s="10" t="s">
        <v>175</v>
      </c>
      <c r="N152" s="10"/>
    </row>
    <row r="153" customFormat="false" ht="15" hidden="false" customHeight="true" outlineLevel="0" collapsed="false">
      <c r="A153" s="11" t="s">
        <v>207</v>
      </c>
      <c r="B153" s="12" t="n">
        <v>1</v>
      </c>
      <c r="C153" s="11"/>
      <c r="D153" s="11" t="s">
        <v>208</v>
      </c>
      <c r="E153" s="11"/>
      <c r="F153" s="11"/>
      <c r="G153" s="11"/>
      <c r="H153" s="11"/>
      <c r="I153" s="13" t="n">
        <v>0</v>
      </c>
      <c r="J153" s="13" t="n">
        <v>0</v>
      </c>
      <c r="K153" s="13" t="n">
        <v>10000</v>
      </c>
      <c r="L153" s="13" t="n">
        <v>10000</v>
      </c>
      <c r="M153" s="11"/>
      <c r="N153" s="11"/>
    </row>
    <row r="154" customFormat="false" ht="15" hidden="false" customHeight="true" outlineLevel="0" collapsed="false">
      <c r="A154" s="4" t="s">
        <v>176</v>
      </c>
      <c r="B154" s="14" t="n">
        <v>2</v>
      </c>
      <c r="C154" s="4" t="s">
        <v>6</v>
      </c>
      <c r="D154" s="4" t="s">
        <v>177</v>
      </c>
      <c r="E154" s="4" t="s">
        <v>209</v>
      </c>
      <c r="F154" s="4" t="s">
        <v>210</v>
      </c>
      <c r="G154" s="15" t="n">
        <v>2024.16</v>
      </c>
      <c r="H154" s="14" t="n">
        <v>2</v>
      </c>
      <c r="I154" s="15" t="n">
        <v>0</v>
      </c>
      <c r="J154" s="15" t="n">
        <v>0</v>
      </c>
      <c r="K154" s="15" t="n">
        <v>0</v>
      </c>
      <c r="L154" s="15" t="n">
        <v>10000</v>
      </c>
      <c r="M154" s="4" t="s">
        <v>180</v>
      </c>
      <c r="N154" s="4"/>
    </row>
    <row r="155" customFormat="false" ht="15" hidden="false" customHeight="true" outlineLevel="0" collapsed="false">
      <c r="A155" s="11" t="s">
        <v>181</v>
      </c>
      <c r="B155" s="12" t="n">
        <v>3</v>
      </c>
      <c r="C155" s="11" t="s">
        <v>6</v>
      </c>
      <c r="D155" s="11" t="s">
        <v>182</v>
      </c>
      <c r="E155" s="11" t="s">
        <v>211</v>
      </c>
      <c r="F155" s="11" t="s">
        <v>210</v>
      </c>
      <c r="G155" s="13" t="n">
        <v>2034.5</v>
      </c>
      <c r="H155" s="12" t="n">
        <v>3</v>
      </c>
      <c r="I155" s="13" t="n">
        <v>0</v>
      </c>
      <c r="J155" s="13" t="n">
        <v>0</v>
      </c>
      <c r="K155" s="13" t="n">
        <v>-113.74</v>
      </c>
      <c r="L155" s="13" t="n">
        <v>9886.26</v>
      </c>
      <c r="M155" s="11" t="s">
        <v>183</v>
      </c>
      <c r="N155" s="11"/>
    </row>
    <row r="156" customFormat="false" ht="15" hidden="false" customHeight="true" outlineLevel="0" collapsed="false">
      <c r="A156" s="4" t="s">
        <v>184</v>
      </c>
      <c r="B156" s="14" t="n">
        <v>4</v>
      </c>
      <c r="C156" s="4" t="s">
        <v>6</v>
      </c>
      <c r="D156" s="4" t="s">
        <v>177</v>
      </c>
      <c r="E156" s="4" t="s">
        <v>209</v>
      </c>
      <c r="F156" s="4" t="s">
        <v>212</v>
      </c>
      <c r="G156" s="15" t="n">
        <v>2053.82</v>
      </c>
      <c r="H156" s="14" t="n">
        <v>4</v>
      </c>
      <c r="I156" s="15" t="n">
        <v>0</v>
      </c>
      <c r="J156" s="15" t="n">
        <v>0</v>
      </c>
      <c r="K156" s="15" t="n">
        <v>0</v>
      </c>
      <c r="L156" s="15" t="n">
        <v>9886.26</v>
      </c>
      <c r="M156" s="4" t="s">
        <v>180</v>
      </c>
      <c r="N156" s="4"/>
    </row>
    <row r="157" customFormat="false" ht="15" hidden="false" customHeight="true" outlineLevel="0" collapsed="false">
      <c r="A157" s="11" t="s">
        <v>186</v>
      </c>
      <c r="B157" s="12" t="n">
        <v>5</v>
      </c>
      <c r="C157" s="11" t="s">
        <v>6</v>
      </c>
      <c r="D157" s="11" t="s">
        <v>182</v>
      </c>
      <c r="E157" s="11" t="s">
        <v>211</v>
      </c>
      <c r="F157" s="11" t="s">
        <v>212</v>
      </c>
      <c r="G157" s="13" t="n">
        <v>2048.14</v>
      </c>
      <c r="H157" s="12" t="n">
        <v>5</v>
      </c>
      <c r="I157" s="13" t="n">
        <v>0</v>
      </c>
      <c r="J157" s="13" t="n">
        <v>0</v>
      </c>
      <c r="K157" s="13" t="n">
        <v>113.6</v>
      </c>
      <c r="L157" s="13" t="n">
        <v>9999.86</v>
      </c>
      <c r="M157" s="11" t="s">
        <v>187</v>
      </c>
      <c r="N157" s="11"/>
    </row>
    <row r="158" customFormat="false" ht="15" hidden="false" customHeight="true" outlineLevel="0" collapsed="false">
      <c r="A158" s="4" t="s">
        <v>188</v>
      </c>
      <c r="B158" s="14" t="n">
        <v>6</v>
      </c>
      <c r="C158" s="4" t="s">
        <v>6</v>
      </c>
      <c r="D158" s="4" t="s">
        <v>177</v>
      </c>
      <c r="E158" s="4" t="s">
        <v>209</v>
      </c>
      <c r="F158" s="4" t="s">
        <v>213</v>
      </c>
      <c r="G158" s="15" t="n">
        <v>2152.33</v>
      </c>
      <c r="H158" s="14" t="n">
        <v>6</v>
      </c>
      <c r="I158" s="15" t="n">
        <v>0</v>
      </c>
      <c r="J158" s="15" t="n">
        <v>0</v>
      </c>
      <c r="K158" s="15" t="n">
        <v>0</v>
      </c>
      <c r="L158" s="15" t="n">
        <v>9999.86</v>
      </c>
      <c r="M158" s="4" t="s">
        <v>180</v>
      </c>
      <c r="N158" s="4"/>
    </row>
    <row r="159" customFormat="false" ht="15" hidden="false" customHeight="true" outlineLevel="0" collapsed="false">
      <c r="A159" s="11" t="s">
        <v>190</v>
      </c>
      <c r="B159" s="12" t="n">
        <v>7</v>
      </c>
      <c r="C159" s="11" t="s">
        <v>6</v>
      </c>
      <c r="D159" s="11" t="s">
        <v>182</v>
      </c>
      <c r="E159" s="11" t="s">
        <v>211</v>
      </c>
      <c r="F159" s="11" t="s">
        <v>213</v>
      </c>
      <c r="G159" s="13" t="n">
        <v>2159.5</v>
      </c>
      <c r="H159" s="12" t="n">
        <v>7</v>
      </c>
      <c r="I159" s="13" t="n">
        <v>0</v>
      </c>
      <c r="J159" s="13" t="n">
        <v>0</v>
      </c>
      <c r="K159" s="13" t="n">
        <v>-114.72</v>
      </c>
      <c r="L159" s="13" t="n">
        <v>9885.14</v>
      </c>
      <c r="M159" s="11" t="s">
        <v>191</v>
      </c>
      <c r="N159" s="11"/>
    </row>
    <row r="160" customFormat="false" ht="15" hidden="false" customHeight="true" outlineLevel="0" collapsed="false">
      <c r="A160" s="4" t="s">
        <v>192</v>
      </c>
      <c r="B160" s="14" t="n">
        <v>8</v>
      </c>
      <c r="C160" s="4" t="s">
        <v>6</v>
      </c>
      <c r="D160" s="4" t="s">
        <v>177</v>
      </c>
      <c r="E160" s="4" t="s">
        <v>209</v>
      </c>
      <c r="F160" s="4" t="s">
        <v>214</v>
      </c>
      <c r="G160" s="15" t="n">
        <v>2373.02</v>
      </c>
      <c r="H160" s="14" t="n">
        <v>8</v>
      </c>
      <c r="I160" s="15" t="n">
        <v>0</v>
      </c>
      <c r="J160" s="15" t="n">
        <v>0</v>
      </c>
      <c r="K160" s="15" t="n">
        <v>0</v>
      </c>
      <c r="L160" s="15" t="n">
        <v>9885.14</v>
      </c>
      <c r="M160" s="4" t="s">
        <v>180</v>
      </c>
      <c r="N160" s="4"/>
    </row>
    <row r="161" customFormat="false" ht="15" hidden="false" customHeight="true" outlineLevel="0" collapsed="false">
      <c r="A161" s="11" t="s">
        <v>194</v>
      </c>
      <c r="B161" s="12" t="n">
        <v>9</v>
      </c>
      <c r="C161" s="11" t="s">
        <v>6</v>
      </c>
      <c r="D161" s="11" t="s">
        <v>182</v>
      </c>
      <c r="E161" s="11" t="s">
        <v>211</v>
      </c>
      <c r="F161" s="11" t="s">
        <v>214</v>
      </c>
      <c r="G161" s="13" t="n">
        <v>2366.62</v>
      </c>
      <c r="H161" s="12" t="n">
        <v>9</v>
      </c>
      <c r="I161" s="13" t="n">
        <v>0</v>
      </c>
      <c r="J161" s="13" t="n">
        <v>0</v>
      </c>
      <c r="K161" s="13" t="n">
        <v>115.2</v>
      </c>
      <c r="L161" s="13" t="n">
        <v>10000.34</v>
      </c>
      <c r="M161" s="11" t="s">
        <v>195</v>
      </c>
      <c r="N161" s="11"/>
    </row>
    <row r="162" customFormat="false" ht="15" hidden="false" customHeight="true" outlineLevel="0" collapsed="false">
      <c r="A162" s="4" t="s">
        <v>196</v>
      </c>
      <c r="B162" s="14" t="n">
        <v>10</v>
      </c>
      <c r="C162" s="4" t="s">
        <v>6</v>
      </c>
      <c r="D162" s="4" t="s">
        <v>177</v>
      </c>
      <c r="E162" s="4" t="s">
        <v>209</v>
      </c>
      <c r="F162" s="4" t="s">
        <v>215</v>
      </c>
      <c r="G162" s="15" t="n">
        <v>2297.61</v>
      </c>
      <c r="H162" s="14" t="n">
        <v>10</v>
      </c>
      <c r="I162" s="15" t="n">
        <v>0</v>
      </c>
      <c r="J162" s="15" t="n">
        <v>0</v>
      </c>
      <c r="K162" s="15" t="n">
        <v>0</v>
      </c>
      <c r="L162" s="15" t="n">
        <v>10000.34</v>
      </c>
      <c r="M162" s="4" t="s">
        <v>180</v>
      </c>
      <c r="N162" s="4"/>
    </row>
    <row r="163" customFormat="false" ht="15" hidden="false" customHeight="true" outlineLevel="0" collapsed="false">
      <c r="A163" s="11" t="s">
        <v>198</v>
      </c>
      <c r="B163" s="12" t="n">
        <v>11</v>
      </c>
      <c r="C163" s="11" t="s">
        <v>6</v>
      </c>
      <c r="D163" s="11" t="s">
        <v>182</v>
      </c>
      <c r="E163" s="11" t="s">
        <v>211</v>
      </c>
      <c r="F163" s="11" t="s">
        <v>215</v>
      </c>
      <c r="G163" s="13" t="n">
        <v>2290.72</v>
      </c>
      <c r="H163" s="12" t="n">
        <v>11</v>
      </c>
      <c r="I163" s="13" t="n">
        <v>0</v>
      </c>
      <c r="J163" s="13" t="n">
        <v>0</v>
      </c>
      <c r="K163" s="13" t="n">
        <v>117.13</v>
      </c>
      <c r="L163" s="13" t="n">
        <v>10117.47</v>
      </c>
      <c r="M163" s="11" t="s">
        <v>199</v>
      </c>
      <c r="N163" s="11"/>
    </row>
    <row r="164" customFormat="false" ht="20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8" t="n">
        <f aca="false">SUM('C2. Con condicion TDI'!I153:I163)</f>
        <v>0</v>
      </c>
      <c r="J164" s="18" t="n">
        <f aca="false">SUM('C2. Con condicion TDI'!J153:J163)</f>
        <v>0</v>
      </c>
      <c r="K164" s="18" t="n">
        <v>117.47</v>
      </c>
      <c r="L164" s="18" t="n">
        <v>10117.47</v>
      </c>
      <c r="M164" s="17"/>
      <c r="N164" s="17"/>
    </row>
  </sheetData>
  <mergeCells count="214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A91:C91"/>
    <mergeCell ref="D91:N91"/>
    <mergeCell ref="A92:C92"/>
    <mergeCell ref="D92:N92"/>
    <mergeCell ref="A93:C93"/>
    <mergeCell ref="D93:N93"/>
    <mergeCell ref="A94:C94"/>
    <mergeCell ref="D94:N94"/>
    <mergeCell ref="A95:N95"/>
    <mergeCell ref="A96:C96"/>
    <mergeCell ref="A97:C97"/>
    <mergeCell ref="E97:G97"/>
    <mergeCell ref="I97:K97"/>
    <mergeCell ref="L97:N97"/>
    <mergeCell ref="A98:C98"/>
    <mergeCell ref="E98:G98"/>
    <mergeCell ref="I98:K98"/>
    <mergeCell ref="L98:N98"/>
    <mergeCell ref="A99:C99"/>
    <mergeCell ref="E99:G99"/>
    <mergeCell ref="I99:K99"/>
    <mergeCell ref="L99:N99"/>
    <mergeCell ref="A100:C100"/>
    <mergeCell ref="E100:G100"/>
    <mergeCell ref="I100:K100"/>
    <mergeCell ref="L100:N100"/>
    <mergeCell ref="A102:C102"/>
    <mergeCell ref="E102:G102"/>
    <mergeCell ref="I102:K102"/>
    <mergeCell ref="L102:N102"/>
    <mergeCell ref="A103:C103"/>
    <mergeCell ref="E103:G103"/>
    <mergeCell ref="I103:K103"/>
    <mergeCell ref="L103:N103"/>
    <mergeCell ref="A104:C104"/>
    <mergeCell ref="E104:G104"/>
    <mergeCell ref="I104:K104"/>
    <mergeCell ref="L104:N104"/>
    <mergeCell ref="A105:C105"/>
    <mergeCell ref="E105:G105"/>
    <mergeCell ref="A107:C107"/>
    <mergeCell ref="E107:G107"/>
    <mergeCell ref="I107:K107"/>
    <mergeCell ref="L107:N107"/>
    <mergeCell ref="A108:C108"/>
    <mergeCell ref="E108:G108"/>
    <mergeCell ref="I108:K108"/>
    <mergeCell ref="L108:N108"/>
    <mergeCell ref="A110:C110"/>
    <mergeCell ref="E110:G110"/>
    <mergeCell ref="I110:K110"/>
    <mergeCell ref="L110:N110"/>
    <mergeCell ref="A111:C111"/>
    <mergeCell ref="E111:G111"/>
    <mergeCell ref="I111:K111"/>
    <mergeCell ref="L111:N111"/>
    <mergeCell ref="E112:G112"/>
    <mergeCell ref="I112:K112"/>
    <mergeCell ref="L112:N112"/>
    <mergeCell ref="E113:G113"/>
    <mergeCell ref="I113:K113"/>
    <mergeCell ref="L113:N113"/>
    <mergeCell ref="E114:G114"/>
    <mergeCell ref="I114:K114"/>
    <mergeCell ref="L114:N114"/>
    <mergeCell ref="E115:G115"/>
    <mergeCell ref="I115:K115"/>
    <mergeCell ref="L115:N115"/>
    <mergeCell ref="E116:G116"/>
    <mergeCell ref="I116:K116"/>
    <mergeCell ref="L116:N116"/>
    <mergeCell ref="A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A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A164:H164"/>
    <mergeCell ref="M164:N164"/>
  </mergeCells>
  <printOptions headings="false" gridLines="false" gridLinesSet="true" horizontalCentered="false" verticalCentered="false"/>
  <pageMargins left="0.7" right="0.7" top="0.7" bottom="0.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80"/>
  <sheetViews>
    <sheetView showFormulas="false" showGridLines="true" showRowColHeaders="true" showZeros="true" rightToLeft="false" tabSelected="false" showOutlineSymbols="true" defaultGridColor="true" view="normal" topLeftCell="A94" colorId="64" zoomScale="120" zoomScaleNormal="120" zoomScalePageLayoutView="100" workbookViewId="0">
      <selection pane="topLeft" activeCell="Q19" activeCellId="0" sqref="Q19"/>
    </sheetView>
  </sheetViews>
  <sheetFormatPr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4"/>
    <col collapsed="false" customWidth="true" hidden="false" outlineLevel="0" max="7" min="5" style="0" width="8.66"/>
    <col collapsed="false" customWidth="true" hidden="false" outlineLevel="0" max="9" min="8" style="0" width="10.82"/>
    <col collapsed="false" customWidth="true" hidden="false" outlineLevel="0" max="11" min="10" style="0" width="8.66"/>
    <col collapsed="false" customWidth="true" hidden="false" outlineLevel="0" max="12" min="12" style="0" width="9.74"/>
    <col collapsed="false" customWidth="true" hidden="false" outlineLevel="0" max="13" min="13" style="0" width="8.66"/>
    <col collapsed="false" customWidth="true" hidden="false" outlineLevel="0" max="14" min="14" style="0" width="1.08"/>
    <col collapsed="false" customWidth="true" hidden="false" outlineLevel="0" max="1025" min="15" style="0" width="9.32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29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32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33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10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34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35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36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37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38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10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39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41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42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43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44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10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47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48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49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51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52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53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54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55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D57" s="5" t="s">
        <v>56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D58" s="5" t="s">
        <v>57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true" outlineLevel="0" collapsed="false">
      <c r="D60" s="5" t="s">
        <v>59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true" outlineLevel="0" collapsed="false"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true" outlineLevel="0" collapsed="false"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true" outlineLevel="0" collapsed="false">
      <c r="D63" s="5" t="s">
        <v>62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true" outlineLevel="0" collapsed="false">
      <c r="D64" s="5" t="s">
        <v>63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true" outlineLevel="0" collapsed="false">
      <c r="D65" s="5" t="s">
        <v>64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true" outlineLevel="0" collapsed="false">
      <c r="D66" s="5" t="s">
        <v>65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true" outlineLevel="0" collapsed="false">
      <c r="D67" s="5" t="s">
        <v>66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true" outlineLevel="0" collapsed="false">
      <c r="D68" s="5" t="s">
        <v>67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true" outlineLevel="0" collapsed="false">
      <c r="D69" s="5" t="s">
        <v>68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true" outlineLevel="0" collapsed="false"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true" outlineLevel="0" collapsed="false">
      <c r="D71" s="5" t="s">
        <v>70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D72" s="5" t="s">
        <v>71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true" outlineLevel="0" collapsed="false">
      <c r="D73" s="5" t="s">
        <v>72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true" outlineLevel="0" collapsed="false">
      <c r="D74" s="5" t="s">
        <v>73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true" outlineLevel="0" collapsed="false">
      <c r="D75" s="5" t="s">
        <v>74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true" outlineLevel="0" collapsed="false">
      <c r="D76" s="5" t="s">
        <v>75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true" outlineLevel="0" collapsed="false">
      <c r="D77" s="5" t="s">
        <v>76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true" outlineLevel="0" collapsed="false">
      <c r="D78" s="5" t="s">
        <v>77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true" outlineLevel="0" collapsed="false">
      <c r="D79" s="5" t="s">
        <v>78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true" outlineLevel="0" collapsed="false">
      <c r="D80" s="5" t="s">
        <v>79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true" outlineLevel="0" collapsed="false">
      <c r="D81" s="5" t="s">
        <v>80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true" outlineLevel="0" collapsed="false">
      <c r="D82" s="5" t="s">
        <v>81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true" outlineLevel="0" collapsed="false">
      <c r="D83" s="5" t="s">
        <v>216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true" outlineLevel="0" collapsed="false">
      <c r="D84" s="5" t="s">
        <v>10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D85" s="5" t="s">
        <v>82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true" outlineLevel="0" collapsed="false">
      <c r="D86" s="5" t="s">
        <v>83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true" outlineLevel="0" collapsed="false">
      <c r="D87" s="5" t="s">
        <v>84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true" outlineLevel="0" collapsed="false">
      <c r="D88" s="5" t="s">
        <v>85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true" outlineLevel="0" collapsed="false">
      <c r="D89" s="5" t="s">
        <v>86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true" outlineLevel="0" collapsed="false">
      <c r="D90" s="5" t="s">
        <v>87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true" outlineLevel="0" collapsed="false">
      <c r="D91" s="5" t="s">
        <v>88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true" outlineLevel="0" collapsed="false">
      <c r="D92" s="5" t="s">
        <v>217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true" outlineLevel="0" collapsed="false">
      <c r="D93" s="5" t="s">
        <v>218</v>
      </c>
      <c r="E93" s="5"/>
      <c r="F93" s="5"/>
      <c r="G93" s="5"/>
      <c r="H93" s="5"/>
      <c r="I93" s="5"/>
      <c r="J93" s="5"/>
      <c r="K93" s="5"/>
      <c r="L93" s="5"/>
      <c r="M93" s="5"/>
      <c r="N93" s="5"/>
    </row>
    <row r="94" customFormat="false" ht="15" hidden="false" customHeight="true" outlineLevel="0" collapsed="false">
      <c r="D94" s="5" t="s">
        <v>219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15" hidden="false" customHeight="true" outlineLevel="0" collapsed="false">
      <c r="A95" s="4" t="s">
        <v>89</v>
      </c>
      <c r="B95" s="4"/>
      <c r="C95" s="4"/>
      <c r="D95" s="5" t="s">
        <v>90</v>
      </c>
      <c r="E95" s="5"/>
      <c r="F95" s="5"/>
      <c r="G95" s="5"/>
      <c r="H95" s="5"/>
      <c r="I95" s="5"/>
      <c r="J95" s="5"/>
      <c r="K95" s="5"/>
      <c r="L95" s="5"/>
      <c r="M95" s="5"/>
      <c r="N95" s="5"/>
    </row>
    <row r="96" customFormat="false" ht="15" hidden="false" customHeight="true" outlineLevel="0" collapsed="false">
      <c r="A96" s="4" t="s">
        <v>91</v>
      </c>
      <c r="B96" s="4"/>
      <c r="C96" s="4"/>
      <c r="D96" s="5" t="s">
        <v>92</v>
      </c>
      <c r="E96" s="5"/>
      <c r="F96" s="5"/>
      <c r="G96" s="5"/>
      <c r="H96" s="5"/>
      <c r="I96" s="5"/>
      <c r="J96" s="5"/>
      <c r="K96" s="5"/>
      <c r="L96" s="5"/>
      <c r="M96" s="5"/>
      <c r="N96" s="5"/>
    </row>
    <row r="97" customFormat="false" ht="15" hidden="false" customHeight="true" outlineLevel="0" collapsed="false">
      <c r="A97" s="4" t="s">
        <v>93</v>
      </c>
      <c r="B97" s="4"/>
      <c r="C97" s="4"/>
      <c r="D97" s="6" t="n">
        <v>10000</v>
      </c>
      <c r="E97" s="6"/>
      <c r="F97" s="6"/>
      <c r="G97" s="6"/>
      <c r="H97" s="6"/>
      <c r="I97" s="6"/>
      <c r="J97" s="6"/>
      <c r="K97" s="6"/>
      <c r="L97" s="6"/>
      <c r="M97" s="6"/>
      <c r="N97" s="6"/>
    </row>
    <row r="98" customFormat="false" ht="15" hidden="false" customHeight="true" outlineLevel="0" collapsed="false">
      <c r="A98" s="4" t="s">
        <v>94</v>
      </c>
      <c r="B98" s="4"/>
      <c r="C98" s="4"/>
      <c r="D98" s="5" t="s">
        <v>95</v>
      </c>
      <c r="E98" s="5"/>
      <c r="F98" s="5"/>
      <c r="G98" s="5"/>
      <c r="H98" s="5"/>
      <c r="I98" s="5"/>
      <c r="J98" s="5"/>
      <c r="K98" s="5"/>
      <c r="L98" s="5"/>
      <c r="M98" s="5"/>
      <c r="N98" s="5"/>
    </row>
    <row r="99" customFormat="false" ht="25" hidden="false" customHeight="true" outlineLevel="0" collapsed="false">
      <c r="A99" s="3" t="s">
        <v>96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5" hidden="false" customHeight="true" outlineLevel="0" collapsed="false">
      <c r="A100" s="4" t="s">
        <v>97</v>
      </c>
      <c r="B100" s="4"/>
      <c r="C100" s="4"/>
      <c r="D100" s="7" t="s">
        <v>98</v>
      </c>
    </row>
    <row r="101" customFormat="false" ht="15" hidden="false" customHeight="true" outlineLevel="0" collapsed="false">
      <c r="A101" s="4" t="s">
        <v>99</v>
      </c>
      <c r="B101" s="4"/>
      <c r="C101" s="4"/>
      <c r="D101" s="8" t="n">
        <v>3279</v>
      </c>
      <c r="E101" s="4" t="s">
        <v>100</v>
      </c>
      <c r="F101" s="4"/>
      <c r="G101" s="4"/>
      <c r="H101" s="8" t="n">
        <v>784150</v>
      </c>
      <c r="I101" s="4" t="s">
        <v>101</v>
      </c>
      <c r="J101" s="4"/>
      <c r="K101" s="4"/>
      <c r="L101" s="8" t="n">
        <v>1</v>
      </c>
      <c r="M101" s="8"/>
      <c r="N101" s="8"/>
    </row>
    <row r="102" customFormat="false" ht="15" hidden="false" customHeight="true" outlineLevel="0" collapsed="false">
      <c r="A102" s="4" t="s">
        <v>102</v>
      </c>
      <c r="B102" s="4"/>
      <c r="C102" s="4"/>
      <c r="D102" s="9" t="n">
        <v>237.34</v>
      </c>
      <c r="E102" s="4" t="s">
        <v>103</v>
      </c>
      <c r="F102" s="4"/>
      <c r="G102" s="4"/>
      <c r="H102" s="9" t="n">
        <v>116.38</v>
      </c>
      <c r="I102" s="4" t="s">
        <v>104</v>
      </c>
      <c r="J102" s="4"/>
      <c r="K102" s="4"/>
      <c r="L102" s="9" t="n">
        <v>194.98</v>
      </c>
      <c r="M102" s="9"/>
      <c r="N102" s="9"/>
    </row>
    <row r="103" customFormat="false" ht="15" hidden="false" customHeight="true" outlineLevel="0" collapsed="false">
      <c r="A103" s="4" t="s">
        <v>105</v>
      </c>
      <c r="B103" s="4"/>
      <c r="C103" s="4"/>
      <c r="D103" s="9" t="n">
        <v>571.44</v>
      </c>
      <c r="E103" s="4" t="s">
        <v>106</v>
      </c>
      <c r="F103" s="4"/>
      <c r="G103" s="4"/>
      <c r="H103" s="7" t="s">
        <v>220</v>
      </c>
      <c r="I103" s="4" t="s">
        <v>108</v>
      </c>
      <c r="J103" s="4"/>
      <c r="K103" s="4"/>
      <c r="L103" s="7" t="s">
        <v>221</v>
      </c>
      <c r="M103" s="7"/>
      <c r="N103" s="7"/>
    </row>
    <row r="104" customFormat="false" ht="15" hidden="false" customHeight="true" outlineLevel="0" collapsed="false">
      <c r="A104" s="4" t="s">
        <v>110</v>
      </c>
      <c r="B104" s="4"/>
      <c r="C104" s="4"/>
      <c r="D104" s="9" t="n">
        <v>-334.1</v>
      </c>
      <c r="E104" s="4" t="s">
        <v>111</v>
      </c>
      <c r="F104" s="4"/>
      <c r="G104" s="4"/>
      <c r="H104" s="7" t="s">
        <v>222</v>
      </c>
      <c r="I104" s="4" t="s">
        <v>113</v>
      </c>
      <c r="J104" s="4"/>
      <c r="K104" s="4"/>
      <c r="L104" s="7" t="s">
        <v>223</v>
      </c>
      <c r="M104" s="7"/>
      <c r="N104" s="7"/>
    </row>
    <row r="106" customFormat="false" ht="15" hidden="false" customHeight="true" outlineLevel="0" collapsed="false">
      <c r="A106" s="4" t="s">
        <v>115</v>
      </c>
      <c r="B106" s="4"/>
      <c r="C106" s="4"/>
      <c r="D106" s="9" t="n">
        <v>1.710386</v>
      </c>
      <c r="E106" s="4" t="s">
        <v>116</v>
      </c>
      <c r="F106" s="4"/>
      <c r="G106" s="4"/>
      <c r="H106" s="9" t="n">
        <v>29.6675</v>
      </c>
      <c r="I106" s="4" t="s">
        <v>117</v>
      </c>
      <c r="J106" s="4"/>
      <c r="K106" s="4"/>
      <c r="L106" s="7" t="s">
        <v>224</v>
      </c>
      <c r="M106" s="7"/>
      <c r="N106" s="7"/>
    </row>
    <row r="107" customFormat="false" ht="15" hidden="false" customHeight="true" outlineLevel="0" collapsed="false">
      <c r="A107" s="4" t="s">
        <v>119</v>
      </c>
      <c r="B107" s="4"/>
      <c r="C107" s="4"/>
      <c r="D107" s="9" t="n">
        <v>0.874245</v>
      </c>
      <c r="E107" s="4" t="s">
        <v>120</v>
      </c>
      <c r="F107" s="4"/>
      <c r="G107" s="4"/>
      <c r="H107" s="9" t="n">
        <v>0.889591</v>
      </c>
      <c r="I107" s="4" t="s">
        <v>121</v>
      </c>
      <c r="J107" s="4"/>
      <c r="K107" s="4"/>
      <c r="L107" s="7" t="s">
        <v>225</v>
      </c>
      <c r="M107" s="7"/>
      <c r="N107" s="7"/>
    </row>
    <row r="108" customFormat="false" ht="15" hidden="false" customHeight="true" outlineLevel="0" collapsed="false">
      <c r="A108" s="4" t="s">
        <v>123</v>
      </c>
      <c r="B108" s="4"/>
      <c r="C108" s="4"/>
      <c r="D108" s="7" t="s">
        <v>226</v>
      </c>
      <c r="E108" s="4" t="s">
        <v>125</v>
      </c>
      <c r="F108" s="4"/>
      <c r="G108" s="4"/>
      <c r="H108" s="9" t="n">
        <v>0.622513</v>
      </c>
      <c r="I108" s="4" t="s">
        <v>126</v>
      </c>
      <c r="J108" s="4"/>
      <c r="K108" s="4"/>
      <c r="L108" s="7" t="s">
        <v>127</v>
      </c>
      <c r="M108" s="7"/>
      <c r="N108" s="7"/>
    </row>
    <row r="109" customFormat="false" ht="15" hidden="false" customHeight="true" outlineLevel="0" collapsed="false">
      <c r="A109" s="4" t="s">
        <v>128</v>
      </c>
      <c r="B109" s="4"/>
      <c r="C109" s="4"/>
      <c r="D109" s="7" t="s">
        <v>227</v>
      </c>
      <c r="E109" s="4" t="s">
        <v>130</v>
      </c>
      <c r="F109" s="4"/>
      <c r="G109" s="4"/>
      <c r="H109" s="9" t="n">
        <v>97.06085</v>
      </c>
    </row>
    <row r="111" customFormat="false" ht="15" hidden="false" customHeight="true" outlineLevel="0" collapsed="false">
      <c r="A111" s="4" t="s">
        <v>131</v>
      </c>
      <c r="B111" s="4"/>
      <c r="C111" s="4"/>
      <c r="D111" s="9" t="n">
        <v>0.818361</v>
      </c>
      <c r="E111" s="4" t="s">
        <v>132</v>
      </c>
      <c r="F111" s="4"/>
      <c r="G111" s="4"/>
      <c r="H111" s="9" t="n">
        <v>0.801278</v>
      </c>
      <c r="I111" s="4" t="s">
        <v>133</v>
      </c>
      <c r="J111" s="4"/>
      <c r="K111" s="4"/>
      <c r="L111" s="9" t="n">
        <v>0.701052</v>
      </c>
      <c r="M111" s="9"/>
      <c r="N111" s="9"/>
    </row>
    <row r="112" customFormat="false" ht="15" hidden="false" customHeight="true" outlineLevel="0" collapsed="false">
      <c r="A112" s="4" t="s">
        <v>134</v>
      </c>
      <c r="B112" s="4"/>
      <c r="C112" s="4"/>
      <c r="D112" s="7" t="s">
        <v>228</v>
      </c>
      <c r="E112" s="4" t="s">
        <v>136</v>
      </c>
      <c r="F112" s="4"/>
      <c r="G112" s="4"/>
      <c r="H112" s="7" t="s">
        <v>137</v>
      </c>
      <c r="I112" s="4" t="s">
        <v>138</v>
      </c>
      <c r="J112" s="4"/>
      <c r="K112" s="4"/>
      <c r="L112" s="7" t="s">
        <v>229</v>
      </c>
      <c r="M112" s="7"/>
      <c r="N112" s="7"/>
    </row>
    <row r="114" customFormat="false" ht="15" hidden="false" customHeight="true" outlineLevel="0" collapsed="false">
      <c r="A114" s="4" t="s">
        <v>140</v>
      </c>
      <c r="B114" s="4"/>
      <c r="C114" s="4"/>
      <c r="D114" s="8" t="n">
        <v>8</v>
      </c>
      <c r="E114" s="4" t="s">
        <v>141</v>
      </c>
      <c r="F114" s="4"/>
      <c r="G114" s="4"/>
      <c r="H114" s="7" t="s">
        <v>230</v>
      </c>
      <c r="I114" s="4" t="s">
        <v>143</v>
      </c>
      <c r="J114" s="4"/>
      <c r="K114" s="4"/>
      <c r="L114" s="7" t="s">
        <v>231</v>
      </c>
      <c r="M114" s="7"/>
      <c r="N114" s="7"/>
    </row>
    <row r="115" customFormat="false" ht="15" hidden="false" customHeight="true" outlineLevel="0" collapsed="false">
      <c r="A115" s="4" t="s">
        <v>145</v>
      </c>
      <c r="B115" s="4"/>
      <c r="C115" s="4"/>
      <c r="D115" s="8" t="n">
        <v>16</v>
      </c>
      <c r="E115" s="4" t="s">
        <v>146</v>
      </c>
      <c r="F115" s="4"/>
      <c r="G115" s="4"/>
      <c r="H115" s="7" t="s">
        <v>232</v>
      </c>
      <c r="I115" s="4" t="s">
        <v>148</v>
      </c>
      <c r="J115" s="4"/>
      <c r="K115" s="4"/>
      <c r="L115" s="7" t="s">
        <v>233</v>
      </c>
      <c r="M115" s="7"/>
      <c r="N115" s="7"/>
    </row>
    <row r="116" customFormat="false" ht="15" hidden="false" customHeight="true" outlineLevel="0" collapsed="false">
      <c r="E116" s="4" t="s">
        <v>150</v>
      </c>
      <c r="F116" s="4"/>
      <c r="G116" s="4"/>
      <c r="H116" s="9" t="n">
        <v>117.13</v>
      </c>
      <c r="I116" s="4" t="s">
        <v>151</v>
      </c>
      <c r="J116" s="4"/>
      <c r="K116" s="4"/>
      <c r="L116" s="9" t="n">
        <v>-116.38</v>
      </c>
      <c r="M116" s="9"/>
      <c r="N116" s="9"/>
    </row>
    <row r="117" customFormat="false" ht="15" hidden="false" customHeight="true" outlineLevel="0" collapsed="false">
      <c r="E117" s="4" t="s">
        <v>152</v>
      </c>
      <c r="F117" s="4"/>
      <c r="G117" s="4"/>
      <c r="H117" s="9" t="n">
        <v>114.288</v>
      </c>
      <c r="I117" s="4" t="s">
        <v>153</v>
      </c>
      <c r="J117" s="4"/>
      <c r="K117" s="4"/>
      <c r="L117" s="9" t="n">
        <v>-111.366667</v>
      </c>
      <c r="M117" s="9"/>
      <c r="N117" s="9"/>
    </row>
    <row r="118" customFormat="false" ht="15" hidden="false" customHeight="true" outlineLevel="0" collapsed="false">
      <c r="E118" s="4" t="s">
        <v>154</v>
      </c>
      <c r="F118" s="4"/>
      <c r="G118" s="4"/>
      <c r="H118" s="7" t="s">
        <v>234</v>
      </c>
      <c r="I118" s="4" t="s">
        <v>156</v>
      </c>
      <c r="J118" s="4"/>
      <c r="K118" s="4"/>
      <c r="L118" s="7" t="s">
        <v>235</v>
      </c>
      <c r="M118" s="7"/>
      <c r="N118" s="7"/>
    </row>
    <row r="119" customFormat="false" ht="15" hidden="false" customHeight="true" outlineLevel="0" collapsed="false">
      <c r="E119" s="4" t="s">
        <v>158</v>
      </c>
      <c r="F119" s="4"/>
      <c r="G119" s="4"/>
      <c r="H119" s="7" t="s">
        <v>236</v>
      </c>
      <c r="I119" s="4" t="s">
        <v>160</v>
      </c>
      <c r="J119" s="4"/>
      <c r="K119" s="4"/>
      <c r="L119" s="7" t="s">
        <v>237</v>
      </c>
      <c r="M119" s="7"/>
      <c r="N119" s="7"/>
    </row>
    <row r="120" customFormat="false" ht="15" hidden="false" customHeight="true" outlineLevel="0" collapsed="false">
      <c r="E120" s="4" t="s">
        <v>162</v>
      </c>
      <c r="F120" s="4"/>
      <c r="G120" s="4"/>
      <c r="H120" s="8" t="n">
        <v>3</v>
      </c>
      <c r="I120" s="4" t="s">
        <v>163</v>
      </c>
      <c r="J120" s="4"/>
      <c r="K120" s="4"/>
      <c r="L120" s="8" t="n">
        <v>2</v>
      </c>
      <c r="M120" s="8"/>
      <c r="N120" s="8"/>
    </row>
    <row r="143" customFormat="false" ht="20" hidden="false" customHeight="true" outlineLevel="0" collapsed="false">
      <c r="A143" s="3" t="s">
        <v>164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20" hidden="false" customHeight="true" outlineLevel="0" collapsed="false">
      <c r="A144" s="10" t="s">
        <v>165</v>
      </c>
      <c r="B144" s="10" t="s">
        <v>166</v>
      </c>
      <c r="C144" s="10" t="s">
        <v>167</v>
      </c>
      <c r="D144" s="10" t="s">
        <v>168</v>
      </c>
      <c r="E144" s="10" t="s">
        <v>169</v>
      </c>
      <c r="F144" s="10"/>
      <c r="G144" s="10" t="s">
        <v>170</v>
      </c>
      <c r="H144" s="10" t="s">
        <v>171</v>
      </c>
      <c r="I144" s="10" t="s">
        <v>172</v>
      </c>
      <c r="J144" s="10" t="s">
        <v>173</v>
      </c>
      <c r="K144" s="10"/>
      <c r="L144" s="10" t="s">
        <v>174</v>
      </c>
      <c r="M144" s="10" t="s">
        <v>175</v>
      </c>
      <c r="N144" s="10"/>
    </row>
    <row r="145" customFormat="false" ht="15" hidden="false" customHeight="true" outlineLevel="0" collapsed="false">
      <c r="A145" s="11" t="s">
        <v>238</v>
      </c>
      <c r="B145" s="12" t="n">
        <v>2</v>
      </c>
      <c r="C145" s="11" t="s">
        <v>6</v>
      </c>
      <c r="D145" s="11" t="s">
        <v>182</v>
      </c>
      <c r="E145" s="11" t="s">
        <v>178</v>
      </c>
      <c r="F145" s="11"/>
      <c r="G145" s="13" t="n">
        <v>0</v>
      </c>
      <c r="H145" s="13" t="n">
        <v>2018.5</v>
      </c>
      <c r="I145" s="13" t="n">
        <v>2039.36</v>
      </c>
      <c r="J145" s="11" t="s">
        <v>238</v>
      </c>
      <c r="K145" s="11"/>
      <c r="L145" s="11" t="s">
        <v>179</v>
      </c>
      <c r="M145" s="11" t="s">
        <v>239</v>
      </c>
      <c r="N145" s="11"/>
    </row>
    <row r="146" customFormat="false" ht="15" hidden="false" customHeight="true" outlineLevel="0" collapsed="false">
      <c r="A146" s="4" t="s">
        <v>240</v>
      </c>
      <c r="B146" s="14" t="n">
        <v>3</v>
      </c>
      <c r="C146" s="4" t="s">
        <v>6</v>
      </c>
      <c r="D146" s="4" t="s">
        <v>177</v>
      </c>
      <c r="E146" s="4" t="s">
        <v>178</v>
      </c>
      <c r="F146" s="4"/>
      <c r="G146" s="15" t="n">
        <v>0</v>
      </c>
      <c r="H146" s="4"/>
      <c r="I146" s="4"/>
      <c r="J146" s="4" t="s">
        <v>240</v>
      </c>
      <c r="K146" s="4"/>
      <c r="L146" s="4" t="s">
        <v>179</v>
      </c>
      <c r="M146" s="4" t="s">
        <v>241</v>
      </c>
      <c r="N146" s="4"/>
    </row>
    <row r="147" customFormat="false" ht="15" hidden="false" customHeight="true" outlineLevel="0" collapsed="false">
      <c r="A147" s="11" t="s">
        <v>184</v>
      </c>
      <c r="B147" s="12" t="n">
        <v>4</v>
      </c>
      <c r="C147" s="11" t="s">
        <v>6</v>
      </c>
      <c r="D147" s="11" t="s">
        <v>177</v>
      </c>
      <c r="E147" s="11" t="s">
        <v>185</v>
      </c>
      <c r="F147" s="11"/>
      <c r="G147" s="13" t="n">
        <v>0</v>
      </c>
      <c r="H147" s="13" t="n">
        <v>2059.5</v>
      </c>
      <c r="I147" s="13" t="n">
        <v>2048.14</v>
      </c>
      <c r="J147" s="11" t="s">
        <v>184</v>
      </c>
      <c r="K147" s="11"/>
      <c r="L147" s="11" t="s">
        <v>179</v>
      </c>
      <c r="M147" s="11" t="s">
        <v>180</v>
      </c>
      <c r="N147" s="11"/>
    </row>
    <row r="148" customFormat="false" ht="15" hidden="false" customHeight="true" outlineLevel="0" collapsed="false">
      <c r="A148" s="4" t="s">
        <v>186</v>
      </c>
      <c r="B148" s="14" t="n">
        <v>5</v>
      </c>
      <c r="C148" s="4" t="s">
        <v>6</v>
      </c>
      <c r="D148" s="4" t="s">
        <v>182</v>
      </c>
      <c r="E148" s="4" t="s">
        <v>185</v>
      </c>
      <c r="F148" s="4"/>
      <c r="G148" s="15" t="n">
        <v>0</v>
      </c>
      <c r="H148" s="4"/>
      <c r="I148" s="4"/>
      <c r="J148" s="4" t="s">
        <v>186</v>
      </c>
      <c r="K148" s="4"/>
      <c r="L148" s="4" t="s">
        <v>179</v>
      </c>
      <c r="M148" s="4" t="s">
        <v>187</v>
      </c>
      <c r="N148" s="4"/>
    </row>
    <row r="149" customFormat="false" ht="15" hidden="false" customHeight="true" outlineLevel="0" collapsed="false">
      <c r="A149" s="11" t="s">
        <v>242</v>
      </c>
      <c r="B149" s="12" t="n">
        <v>6</v>
      </c>
      <c r="C149" s="11" t="s">
        <v>6</v>
      </c>
      <c r="D149" s="11" t="s">
        <v>182</v>
      </c>
      <c r="E149" s="11" t="s">
        <v>185</v>
      </c>
      <c r="F149" s="11"/>
      <c r="G149" s="13" t="n">
        <v>0</v>
      </c>
      <c r="H149" s="13" t="n">
        <v>2113.5</v>
      </c>
      <c r="I149" s="13" t="n">
        <v>2124.96</v>
      </c>
      <c r="J149" s="11" t="s">
        <v>242</v>
      </c>
      <c r="K149" s="11"/>
      <c r="L149" s="11" t="s">
        <v>179</v>
      </c>
      <c r="M149" s="11" t="s">
        <v>239</v>
      </c>
      <c r="N149" s="11"/>
    </row>
    <row r="150" customFormat="false" ht="15" hidden="false" customHeight="true" outlineLevel="0" collapsed="false">
      <c r="A150" s="4" t="s">
        <v>243</v>
      </c>
      <c r="B150" s="14" t="n">
        <v>7</v>
      </c>
      <c r="C150" s="4" t="s">
        <v>6</v>
      </c>
      <c r="D150" s="4" t="s">
        <v>177</v>
      </c>
      <c r="E150" s="4" t="s">
        <v>185</v>
      </c>
      <c r="F150" s="4"/>
      <c r="G150" s="15" t="n">
        <v>0</v>
      </c>
      <c r="H150" s="4"/>
      <c r="I150" s="4"/>
      <c r="J150" s="4" t="s">
        <v>243</v>
      </c>
      <c r="K150" s="4"/>
      <c r="L150" s="4" t="s">
        <v>179</v>
      </c>
      <c r="M150" s="4" t="s">
        <v>244</v>
      </c>
      <c r="N150" s="4"/>
    </row>
    <row r="151" customFormat="false" ht="15" hidden="false" customHeight="true" outlineLevel="0" collapsed="false">
      <c r="A151" s="11" t="s">
        <v>245</v>
      </c>
      <c r="B151" s="12" t="n">
        <v>8</v>
      </c>
      <c r="C151" s="11" t="s">
        <v>6</v>
      </c>
      <c r="D151" s="11" t="s">
        <v>177</v>
      </c>
      <c r="E151" s="11" t="s">
        <v>246</v>
      </c>
      <c r="F151" s="11"/>
      <c r="G151" s="13" t="n">
        <v>0</v>
      </c>
      <c r="H151" s="13" t="n">
        <v>2184.5</v>
      </c>
      <c r="I151" s="13" t="n">
        <v>2165.78</v>
      </c>
      <c r="J151" s="11" t="s">
        <v>245</v>
      </c>
      <c r="K151" s="11"/>
      <c r="L151" s="11" t="s">
        <v>179</v>
      </c>
      <c r="M151" s="11" t="s">
        <v>180</v>
      </c>
      <c r="N151" s="11"/>
    </row>
    <row r="152" customFormat="false" ht="15" hidden="false" customHeight="true" outlineLevel="0" collapsed="false">
      <c r="A152" s="4" t="s">
        <v>247</v>
      </c>
      <c r="B152" s="14" t="n">
        <v>9</v>
      </c>
      <c r="C152" s="4" t="s">
        <v>6</v>
      </c>
      <c r="D152" s="4" t="s">
        <v>182</v>
      </c>
      <c r="E152" s="4" t="s">
        <v>246</v>
      </c>
      <c r="F152" s="4"/>
      <c r="G152" s="15" t="n">
        <v>0</v>
      </c>
      <c r="H152" s="4"/>
      <c r="I152" s="4"/>
      <c r="J152" s="4" t="s">
        <v>247</v>
      </c>
      <c r="K152" s="4"/>
      <c r="L152" s="4" t="s">
        <v>179</v>
      </c>
      <c r="M152" s="4" t="s">
        <v>248</v>
      </c>
      <c r="N152" s="4"/>
    </row>
    <row r="153" customFormat="false" ht="15" hidden="false" customHeight="true" outlineLevel="0" collapsed="false">
      <c r="A153" s="11" t="s">
        <v>249</v>
      </c>
      <c r="B153" s="12" t="n">
        <v>10</v>
      </c>
      <c r="C153" s="11" t="s">
        <v>6</v>
      </c>
      <c r="D153" s="11" t="s">
        <v>177</v>
      </c>
      <c r="E153" s="11" t="s">
        <v>197</v>
      </c>
      <c r="F153" s="11"/>
      <c r="G153" s="13" t="n">
        <v>0</v>
      </c>
      <c r="H153" s="13" t="n">
        <v>2384.5</v>
      </c>
      <c r="I153" s="13" t="n">
        <v>2371.72</v>
      </c>
      <c r="J153" s="11" t="s">
        <v>249</v>
      </c>
      <c r="K153" s="11"/>
      <c r="L153" s="11" t="s">
        <v>179</v>
      </c>
      <c r="M153" s="11" t="s">
        <v>180</v>
      </c>
      <c r="N153" s="11"/>
    </row>
    <row r="154" customFormat="false" ht="15" hidden="false" customHeight="true" outlineLevel="0" collapsed="false">
      <c r="A154" s="4" t="s">
        <v>250</v>
      </c>
      <c r="B154" s="14" t="n">
        <v>11</v>
      </c>
      <c r="C154" s="4" t="s">
        <v>6</v>
      </c>
      <c r="D154" s="4" t="s">
        <v>182</v>
      </c>
      <c r="E154" s="4" t="s">
        <v>197</v>
      </c>
      <c r="F154" s="4"/>
      <c r="G154" s="15" t="n">
        <v>0</v>
      </c>
      <c r="H154" s="4"/>
      <c r="I154" s="4"/>
      <c r="J154" s="4" t="s">
        <v>250</v>
      </c>
      <c r="K154" s="4"/>
      <c r="L154" s="4" t="s">
        <v>179</v>
      </c>
      <c r="M154" s="4" t="s">
        <v>251</v>
      </c>
      <c r="N154" s="4"/>
    </row>
    <row r="155" customFormat="false" ht="15" hidden="false" customHeight="true" outlineLevel="0" collapsed="false">
      <c r="A155" s="11" t="s">
        <v>192</v>
      </c>
      <c r="B155" s="12" t="n">
        <v>12</v>
      </c>
      <c r="C155" s="11" t="s">
        <v>6</v>
      </c>
      <c r="D155" s="11" t="s">
        <v>177</v>
      </c>
      <c r="E155" s="11" t="s">
        <v>193</v>
      </c>
      <c r="F155" s="11"/>
      <c r="G155" s="13" t="n">
        <v>0</v>
      </c>
      <c r="H155" s="13" t="n">
        <v>2379.5</v>
      </c>
      <c r="I155" s="13" t="n">
        <v>2366.62</v>
      </c>
      <c r="J155" s="11" t="s">
        <v>192</v>
      </c>
      <c r="K155" s="11"/>
      <c r="L155" s="11" t="s">
        <v>179</v>
      </c>
      <c r="M155" s="11" t="s">
        <v>180</v>
      </c>
      <c r="N155" s="11"/>
    </row>
    <row r="156" customFormat="false" ht="15" hidden="false" customHeight="true" outlineLevel="0" collapsed="false">
      <c r="A156" s="4" t="s">
        <v>194</v>
      </c>
      <c r="B156" s="14" t="n">
        <v>13</v>
      </c>
      <c r="C156" s="4" t="s">
        <v>6</v>
      </c>
      <c r="D156" s="4" t="s">
        <v>182</v>
      </c>
      <c r="E156" s="4" t="s">
        <v>193</v>
      </c>
      <c r="F156" s="4"/>
      <c r="G156" s="15" t="n">
        <v>0</v>
      </c>
      <c r="H156" s="4"/>
      <c r="I156" s="4"/>
      <c r="J156" s="4" t="s">
        <v>194</v>
      </c>
      <c r="K156" s="4"/>
      <c r="L156" s="4" t="s">
        <v>179</v>
      </c>
      <c r="M156" s="4" t="s">
        <v>195</v>
      </c>
      <c r="N156" s="4"/>
    </row>
    <row r="157" customFormat="false" ht="15" hidden="false" customHeight="true" outlineLevel="0" collapsed="false">
      <c r="A157" s="11" t="s">
        <v>196</v>
      </c>
      <c r="B157" s="12" t="n">
        <v>14</v>
      </c>
      <c r="C157" s="11" t="s">
        <v>6</v>
      </c>
      <c r="D157" s="11" t="s">
        <v>177</v>
      </c>
      <c r="E157" s="11" t="s">
        <v>197</v>
      </c>
      <c r="F157" s="11"/>
      <c r="G157" s="13" t="n">
        <v>0</v>
      </c>
      <c r="H157" s="13" t="n">
        <v>2304.5</v>
      </c>
      <c r="I157" s="13" t="n">
        <v>2290.72</v>
      </c>
      <c r="J157" s="11" t="s">
        <v>196</v>
      </c>
      <c r="K157" s="11"/>
      <c r="L157" s="11" t="s">
        <v>179</v>
      </c>
      <c r="M157" s="11" t="s">
        <v>180</v>
      </c>
      <c r="N157" s="11"/>
    </row>
    <row r="158" customFormat="false" ht="15" hidden="false" customHeight="true" outlineLevel="0" collapsed="false">
      <c r="A158" s="4" t="s">
        <v>198</v>
      </c>
      <c r="B158" s="14" t="n">
        <v>15</v>
      </c>
      <c r="C158" s="4" t="s">
        <v>6</v>
      </c>
      <c r="D158" s="4" t="s">
        <v>182</v>
      </c>
      <c r="E158" s="4" t="s">
        <v>197</v>
      </c>
      <c r="F158" s="4"/>
      <c r="G158" s="15" t="n">
        <v>0</v>
      </c>
      <c r="H158" s="4"/>
      <c r="I158" s="4"/>
      <c r="J158" s="4" t="s">
        <v>198</v>
      </c>
      <c r="K158" s="4"/>
      <c r="L158" s="4" t="s">
        <v>179</v>
      </c>
      <c r="M158" s="4" t="s">
        <v>199</v>
      </c>
      <c r="N158" s="4"/>
    </row>
    <row r="159" customFormat="false" ht="15" hidden="false" customHeight="true" outlineLevel="0" collapsed="false">
      <c r="A159" s="11" t="s">
        <v>252</v>
      </c>
      <c r="B159" s="12" t="n">
        <v>16</v>
      </c>
      <c r="C159" s="11" t="s">
        <v>6</v>
      </c>
      <c r="D159" s="11" t="s">
        <v>177</v>
      </c>
      <c r="E159" s="11" t="s">
        <v>197</v>
      </c>
      <c r="F159" s="11"/>
      <c r="G159" s="13" t="n">
        <v>0</v>
      </c>
      <c r="H159" s="13" t="n">
        <v>2414.5</v>
      </c>
      <c r="I159" s="13" t="n">
        <v>2401.32</v>
      </c>
      <c r="J159" s="11" t="s">
        <v>252</v>
      </c>
      <c r="K159" s="11"/>
      <c r="L159" s="11" t="s">
        <v>179</v>
      </c>
      <c r="M159" s="11" t="s">
        <v>180</v>
      </c>
      <c r="N159" s="11"/>
    </row>
    <row r="160" customFormat="false" ht="15" hidden="false" customHeight="true" outlineLevel="0" collapsed="false">
      <c r="A160" s="4" t="s">
        <v>253</v>
      </c>
      <c r="B160" s="14" t="n">
        <v>17</v>
      </c>
      <c r="C160" s="4" t="s">
        <v>6</v>
      </c>
      <c r="D160" s="4" t="s">
        <v>182</v>
      </c>
      <c r="E160" s="4" t="s">
        <v>197</v>
      </c>
      <c r="F160" s="4"/>
      <c r="G160" s="15" t="n">
        <v>0</v>
      </c>
      <c r="H160" s="4"/>
      <c r="I160" s="4"/>
      <c r="J160" s="4" t="s">
        <v>253</v>
      </c>
      <c r="K160" s="4"/>
      <c r="L160" s="4" t="s">
        <v>179</v>
      </c>
      <c r="M160" s="4" t="s">
        <v>254</v>
      </c>
      <c r="N160" s="4"/>
    </row>
    <row r="161" customFormat="false" ht="20" hidden="false" customHeight="true" outlineLevel="0" collapsed="false">
      <c r="A161" s="16" t="s">
        <v>200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customFormat="false" ht="20" hidden="false" customHeight="true" outlineLevel="0" collapsed="false">
      <c r="A162" s="10" t="s">
        <v>173</v>
      </c>
      <c r="B162" s="10" t="s">
        <v>201</v>
      </c>
      <c r="C162" s="10" t="s">
        <v>167</v>
      </c>
      <c r="D162" s="10" t="s">
        <v>168</v>
      </c>
      <c r="E162" s="10" t="s">
        <v>202</v>
      </c>
      <c r="F162" s="10" t="s">
        <v>169</v>
      </c>
      <c r="G162" s="10" t="s">
        <v>170</v>
      </c>
      <c r="H162" s="10" t="s">
        <v>166</v>
      </c>
      <c r="I162" s="10" t="s">
        <v>203</v>
      </c>
      <c r="J162" s="10" t="s">
        <v>204</v>
      </c>
      <c r="K162" s="10" t="s">
        <v>205</v>
      </c>
      <c r="L162" s="10" t="s">
        <v>206</v>
      </c>
      <c r="M162" s="10" t="s">
        <v>175</v>
      </c>
      <c r="N162" s="10"/>
    </row>
    <row r="163" customFormat="false" ht="15" hidden="false" customHeight="true" outlineLevel="0" collapsed="false">
      <c r="A163" s="11" t="s">
        <v>207</v>
      </c>
      <c r="B163" s="12" t="n">
        <v>1</v>
      </c>
      <c r="C163" s="11"/>
      <c r="D163" s="11" t="s">
        <v>208</v>
      </c>
      <c r="E163" s="11"/>
      <c r="F163" s="11"/>
      <c r="G163" s="11"/>
      <c r="H163" s="11"/>
      <c r="I163" s="13" t="n">
        <v>0</v>
      </c>
      <c r="J163" s="13" t="n">
        <v>0</v>
      </c>
      <c r="K163" s="13" t="n">
        <v>10000</v>
      </c>
      <c r="L163" s="13" t="n">
        <v>10000</v>
      </c>
      <c r="M163" s="11"/>
      <c r="N163" s="11"/>
    </row>
    <row r="164" customFormat="false" ht="15" hidden="false" customHeight="true" outlineLevel="0" collapsed="false">
      <c r="A164" s="4" t="s">
        <v>238</v>
      </c>
      <c r="B164" s="14" t="n">
        <v>2</v>
      </c>
      <c r="C164" s="4" t="s">
        <v>6</v>
      </c>
      <c r="D164" s="4" t="s">
        <v>182</v>
      </c>
      <c r="E164" s="4" t="s">
        <v>209</v>
      </c>
      <c r="F164" s="4" t="s">
        <v>210</v>
      </c>
      <c r="G164" s="15" t="n">
        <v>2029.08</v>
      </c>
      <c r="H164" s="14" t="n">
        <v>2</v>
      </c>
      <c r="I164" s="15" t="n">
        <v>0</v>
      </c>
      <c r="J164" s="15" t="n">
        <v>0</v>
      </c>
      <c r="K164" s="15" t="n">
        <v>0</v>
      </c>
      <c r="L164" s="15" t="n">
        <v>10000</v>
      </c>
      <c r="M164" s="4" t="s">
        <v>239</v>
      </c>
      <c r="N164" s="4"/>
    </row>
    <row r="165" customFormat="false" ht="15" hidden="false" customHeight="true" outlineLevel="0" collapsed="false">
      <c r="A165" s="11" t="s">
        <v>240</v>
      </c>
      <c r="B165" s="12" t="n">
        <v>3</v>
      </c>
      <c r="C165" s="11" t="s">
        <v>6</v>
      </c>
      <c r="D165" s="11" t="s">
        <v>177</v>
      </c>
      <c r="E165" s="11" t="s">
        <v>211</v>
      </c>
      <c r="F165" s="11" t="s">
        <v>210</v>
      </c>
      <c r="G165" s="13" t="n">
        <v>2018.5</v>
      </c>
      <c r="H165" s="12" t="n">
        <v>3</v>
      </c>
      <c r="I165" s="13" t="n">
        <v>0</v>
      </c>
      <c r="J165" s="13" t="n">
        <v>0</v>
      </c>
      <c r="K165" s="13" t="n">
        <v>-116.38</v>
      </c>
      <c r="L165" s="13" t="n">
        <v>9883.62</v>
      </c>
      <c r="M165" s="11" t="s">
        <v>241</v>
      </c>
      <c r="N165" s="11"/>
    </row>
    <row r="166" customFormat="false" ht="15" hidden="false" customHeight="true" outlineLevel="0" collapsed="false">
      <c r="A166" s="4" t="s">
        <v>184</v>
      </c>
      <c r="B166" s="14" t="n">
        <v>4</v>
      </c>
      <c r="C166" s="4" t="s">
        <v>6</v>
      </c>
      <c r="D166" s="4" t="s">
        <v>177</v>
      </c>
      <c r="E166" s="4" t="s">
        <v>209</v>
      </c>
      <c r="F166" s="4" t="s">
        <v>212</v>
      </c>
      <c r="G166" s="15" t="n">
        <v>2053.82</v>
      </c>
      <c r="H166" s="14" t="n">
        <v>4</v>
      </c>
      <c r="I166" s="15" t="n">
        <v>0</v>
      </c>
      <c r="J166" s="15" t="n">
        <v>0</v>
      </c>
      <c r="K166" s="15" t="n">
        <v>0</v>
      </c>
      <c r="L166" s="15" t="n">
        <v>9883.62</v>
      </c>
      <c r="M166" s="4" t="s">
        <v>180</v>
      </c>
      <c r="N166" s="4"/>
    </row>
    <row r="167" customFormat="false" ht="15" hidden="false" customHeight="true" outlineLevel="0" collapsed="false">
      <c r="A167" s="11" t="s">
        <v>186</v>
      </c>
      <c r="B167" s="12" t="n">
        <v>5</v>
      </c>
      <c r="C167" s="11" t="s">
        <v>6</v>
      </c>
      <c r="D167" s="11" t="s">
        <v>182</v>
      </c>
      <c r="E167" s="11" t="s">
        <v>211</v>
      </c>
      <c r="F167" s="11" t="s">
        <v>212</v>
      </c>
      <c r="G167" s="13" t="n">
        <v>2048.14</v>
      </c>
      <c r="H167" s="12" t="n">
        <v>5</v>
      </c>
      <c r="I167" s="13" t="n">
        <v>0</v>
      </c>
      <c r="J167" s="13" t="n">
        <v>0</v>
      </c>
      <c r="K167" s="13" t="n">
        <v>113.6</v>
      </c>
      <c r="L167" s="13" t="n">
        <v>9997.22</v>
      </c>
      <c r="M167" s="11" t="s">
        <v>187</v>
      </c>
      <c r="N167" s="11"/>
    </row>
    <row r="168" customFormat="false" ht="15" hidden="false" customHeight="true" outlineLevel="0" collapsed="false">
      <c r="A168" s="4" t="s">
        <v>242</v>
      </c>
      <c r="B168" s="14" t="n">
        <v>6</v>
      </c>
      <c r="C168" s="4" t="s">
        <v>6</v>
      </c>
      <c r="D168" s="4" t="s">
        <v>182</v>
      </c>
      <c r="E168" s="4" t="s">
        <v>209</v>
      </c>
      <c r="F168" s="4" t="s">
        <v>212</v>
      </c>
      <c r="G168" s="15" t="n">
        <v>2119.32</v>
      </c>
      <c r="H168" s="14" t="n">
        <v>6</v>
      </c>
      <c r="I168" s="15" t="n">
        <v>0</v>
      </c>
      <c r="J168" s="15" t="n">
        <v>0</v>
      </c>
      <c r="K168" s="15" t="n">
        <v>0</v>
      </c>
      <c r="L168" s="15" t="n">
        <v>9997.22</v>
      </c>
      <c r="M168" s="4" t="s">
        <v>239</v>
      </c>
      <c r="N168" s="4"/>
    </row>
    <row r="169" customFormat="false" ht="15" hidden="false" customHeight="true" outlineLevel="0" collapsed="false">
      <c r="A169" s="11" t="s">
        <v>243</v>
      </c>
      <c r="B169" s="12" t="n">
        <v>7</v>
      </c>
      <c r="C169" s="11" t="s">
        <v>6</v>
      </c>
      <c r="D169" s="11" t="s">
        <v>177</v>
      </c>
      <c r="E169" s="11" t="s">
        <v>211</v>
      </c>
      <c r="F169" s="11" t="s">
        <v>212</v>
      </c>
      <c r="G169" s="13" t="n">
        <v>2124.96</v>
      </c>
      <c r="H169" s="12" t="n">
        <v>7</v>
      </c>
      <c r="I169" s="13" t="n">
        <v>0</v>
      </c>
      <c r="J169" s="13" t="n">
        <v>0</v>
      </c>
      <c r="K169" s="13" t="n">
        <v>112.8</v>
      </c>
      <c r="L169" s="13" t="n">
        <v>10110.02</v>
      </c>
      <c r="M169" s="11" t="s">
        <v>244</v>
      </c>
      <c r="N169" s="11"/>
    </row>
    <row r="170" customFormat="false" ht="15" hidden="false" customHeight="true" outlineLevel="0" collapsed="false">
      <c r="A170" s="4" t="s">
        <v>245</v>
      </c>
      <c r="B170" s="14" t="n">
        <v>8</v>
      </c>
      <c r="C170" s="4" t="s">
        <v>6</v>
      </c>
      <c r="D170" s="4" t="s">
        <v>177</v>
      </c>
      <c r="E170" s="4" t="s">
        <v>209</v>
      </c>
      <c r="F170" s="4" t="s">
        <v>255</v>
      </c>
      <c r="G170" s="15" t="n">
        <v>2175.14</v>
      </c>
      <c r="H170" s="14" t="n">
        <v>8</v>
      </c>
      <c r="I170" s="15" t="n">
        <v>0</v>
      </c>
      <c r="J170" s="15" t="n">
        <v>0</v>
      </c>
      <c r="K170" s="15" t="n">
        <v>0</v>
      </c>
      <c r="L170" s="15" t="n">
        <v>10110.02</v>
      </c>
      <c r="M170" s="4" t="s">
        <v>180</v>
      </c>
      <c r="N170" s="4"/>
    </row>
    <row r="171" customFormat="false" ht="15" hidden="false" customHeight="true" outlineLevel="0" collapsed="false">
      <c r="A171" s="11" t="s">
        <v>247</v>
      </c>
      <c r="B171" s="12" t="n">
        <v>9</v>
      </c>
      <c r="C171" s="11" t="s">
        <v>6</v>
      </c>
      <c r="D171" s="11" t="s">
        <v>182</v>
      </c>
      <c r="E171" s="11" t="s">
        <v>211</v>
      </c>
      <c r="F171" s="11" t="s">
        <v>255</v>
      </c>
      <c r="G171" s="13" t="n">
        <v>2184.5</v>
      </c>
      <c r="H171" s="12" t="n">
        <v>9</v>
      </c>
      <c r="I171" s="13" t="n">
        <v>0</v>
      </c>
      <c r="J171" s="13" t="n">
        <v>0</v>
      </c>
      <c r="K171" s="13" t="n">
        <v>-112.32</v>
      </c>
      <c r="L171" s="13" t="n">
        <v>9997.7</v>
      </c>
      <c r="M171" s="11" t="s">
        <v>248</v>
      </c>
      <c r="N171" s="11"/>
    </row>
    <row r="172" customFormat="false" ht="15" hidden="false" customHeight="true" outlineLevel="0" collapsed="false">
      <c r="A172" s="4" t="s">
        <v>249</v>
      </c>
      <c r="B172" s="14" t="n">
        <v>10</v>
      </c>
      <c r="C172" s="4" t="s">
        <v>6</v>
      </c>
      <c r="D172" s="4" t="s">
        <v>177</v>
      </c>
      <c r="E172" s="4" t="s">
        <v>209</v>
      </c>
      <c r="F172" s="4" t="s">
        <v>215</v>
      </c>
      <c r="G172" s="15" t="n">
        <v>2378.3</v>
      </c>
      <c r="H172" s="14" t="n">
        <v>10</v>
      </c>
      <c r="I172" s="15" t="n">
        <v>0</v>
      </c>
      <c r="J172" s="15" t="n">
        <v>0</v>
      </c>
      <c r="K172" s="15" t="n">
        <v>0</v>
      </c>
      <c r="L172" s="15" t="n">
        <v>9997.7</v>
      </c>
      <c r="M172" s="4" t="s">
        <v>180</v>
      </c>
      <c r="N172" s="4"/>
    </row>
    <row r="173" customFormat="false" ht="15" hidden="false" customHeight="true" outlineLevel="0" collapsed="false">
      <c r="A173" s="11" t="s">
        <v>250</v>
      </c>
      <c r="B173" s="12" t="n">
        <v>11</v>
      </c>
      <c r="C173" s="11" t="s">
        <v>6</v>
      </c>
      <c r="D173" s="11" t="s">
        <v>182</v>
      </c>
      <c r="E173" s="11" t="s">
        <v>211</v>
      </c>
      <c r="F173" s="11" t="s">
        <v>215</v>
      </c>
      <c r="G173" s="13" t="n">
        <v>2384.5</v>
      </c>
      <c r="H173" s="12" t="n">
        <v>11</v>
      </c>
      <c r="I173" s="13" t="n">
        <v>0</v>
      </c>
      <c r="J173" s="13" t="n">
        <v>0</v>
      </c>
      <c r="K173" s="13" t="n">
        <v>-105.4</v>
      </c>
      <c r="L173" s="13" t="n">
        <v>9892.3</v>
      </c>
      <c r="M173" s="11" t="s">
        <v>251</v>
      </c>
      <c r="N173" s="11"/>
    </row>
    <row r="174" customFormat="false" ht="15" hidden="false" customHeight="true" outlineLevel="0" collapsed="false">
      <c r="A174" s="4" t="s">
        <v>192</v>
      </c>
      <c r="B174" s="14" t="n">
        <v>12</v>
      </c>
      <c r="C174" s="4" t="s">
        <v>6</v>
      </c>
      <c r="D174" s="4" t="s">
        <v>177</v>
      </c>
      <c r="E174" s="4" t="s">
        <v>209</v>
      </c>
      <c r="F174" s="4" t="s">
        <v>214</v>
      </c>
      <c r="G174" s="15" t="n">
        <v>2373.02</v>
      </c>
      <c r="H174" s="14" t="n">
        <v>12</v>
      </c>
      <c r="I174" s="15" t="n">
        <v>0</v>
      </c>
      <c r="J174" s="15" t="n">
        <v>0</v>
      </c>
      <c r="K174" s="15" t="n">
        <v>0</v>
      </c>
      <c r="L174" s="15" t="n">
        <v>9892.3</v>
      </c>
      <c r="M174" s="4" t="s">
        <v>180</v>
      </c>
      <c r="N174" s="4"/>
    </row>
    <row r="175" customFormat="false" ht="15" hidden="false" customHeight="true" outlineLevel="0" collapsed="false">
      <c r="A175" s="11" t="s">
        <v>194</v>
      </c>
      <c r="B175" s="12" t="n">
        <v>13</v>
      </c>
      <c r="C175" s="11" t="s">
        <v>6</v>
      </c>
      <c r="D175" s="11" t="s">
        <v>182</v>
      </c>
      <c r="E175" s="11" t="s">
        <v>211</v>
      </c>
      <c r="F175" s="11" t="s">
        <v>214</v>
      </c>
      <c r="G175" s="13" t="n">
        <v>2366.62</v>
      </c>
      <c r="H175" s="12" t="n">
        <v>13</v>
      </c>
      <c r="I175" s="13" t="n">
        <v>0</v>
      </c>
      <c r="J175" s="13" t="n">
        <v>0</v>
      </c>
      <c r="K175" s="13" t="n">
        <v>115.2</v>
      </c>
      <c r="L175" s="13" t="n">
        <v>10007.5</v>
      </c>
      <c r="M175" s="11" t="s">
        <v>195</v>
      </c>
      <c r="N175" s="11"/>
    </row>
    <row r="176" customFormat="false" ht="15" hidden="false" customHeight="true" outlineLevel="0" collapsed="false">
      <c r="A176" s="4" t="s">
        <v>196</v>
      </c>
      <c r="B176" s="14" t="n">
        <v>14</v>
      </c>
      <c r="C176" s="4" t="s">
        <v>6</v>
      </c>
      <c r="D176" s="4" t="s">
        <v>177</v>
      </c>
      <c r="E176" s="4" t="s">
        <v>209</v>
      </c>
      <c r="F176" s="4" t="s">
        <v>215</v>
      </c>
      <c r="G176" s="15" t="n">
        <v>2297.61</v>
      </c>
      <c r="H176" s="14" t="n">
        <v>14</v>
      </c>
      <c r="I176" s="15" t="n">
        <v>0</v>
      </c>
      <c r="J176" s="15" t="n">
        <v>0</v>
      </c>
      <c r="K176" s="15" t="n">
        <v>0</v>
      </c>
      <c r="L176" s="15" t="n">
        <v>10007.5</v>
      </c>
      <c r="M176" s="4" t="s">
        <v>180</v>
      </c>
      <c r="N176" s="4"/>
    </row>
    <row r="177" customFormat="false" ht="15" hidden="false" customHeight="true" outlineLevel="0" collapsed="false">
      <c r="A177" s="11" t="s">
        <v>198</v>
      </c>
      <c r="B177" s="12" t="n">
        <v>15</v>
      </c>
      <c r="C177" s="11" t="s">
        <v>6</v>
      </c>
      <c r="D177" s="11" t="s">
        <v>182</v>
      </c>
      <c r="E177" s="11" t="s">
        <v>211</v>
      </c>
      <c r="F177" s="11" t="s">
        <v>215</v>
      </c>
      <c r="G177" s="13" t="n">
        <v>2290.72</v>
      </c>
      <c r="H177" s="12" t="n">
        <v>15</v>
      </c>
      <c r="I177" s="13" t="n">
        <v>0</v>
      </c>
      <c r="J177" s="13" t="n">
        <v>0</v>
      </c>
      <c r="K177" s="13" t="n">
        <v>117.13</v>
      </c>
      <c r="L177" s="13" t="n">
        <v>10124.63</v>
      </c>
      <c r="M177" s="11" t="s">
        <v>199</v>
      </c>
      <c r="N177" s="11"/>
    </row>
    <row r="178" customFormat="false" ht="15" hidden="false" customHeight="true" outlineLevel="0" collapsed="false">
      <c r="A178" s="4" t="s">
        <v>252</v>
      </c>
      <c r="B178" s="14" t="n">
        <v>16</v>
      </c>
      <c r="C178" s="4" t="s">
        <v>6</v>
      </c>
      <c r="D178" s="4" t="s">
        <v>177</v>
      </c>
      <c r="E178" s="4" t="s">
        <v>209</v>
      </c>
      <c r="F178" s="4" t="s">
        <v>215</v>
      </c>
      <c r="G178" s="15" t="n">
        <v>2407.95</v>
      </c>
      <c r="H178" s="14" t="n">
        <v>16</v>
      </c>
      <c r="I178" s="15" t="n">
        <v>0</v>
      </c>
      <c r="J178" s="15" t="n">
        <v>0</v>
      </c>
      <c r="K178" s="15" t="n">
        <v>0</v>
      </c>
      <c r="L178" s="15" t="n">
        <v>10124.63</v>
      </c>
      <c r="M178" s="4" t="s">
        <v>180</v>
      </c>
      <c r="N178" s="4"/>
    </row>
    <row r="179" customFormat="false" ht="15" hidden="false" customHeight="true" outlineLevel="0" collapsed="false">
      <c r="A179" s="11" t="s">
        <v>253</v>
      </c>
      <c r="B179" s="12" t="n">
        <v>17</v>
      </c>
      <c r="C179" s="11" t="s">
        <v>6</v>
      </c>
      <c r="D179" s="11" t="s">
        <v>182</v>
      </c>
      <c r="E179" s="11" t="s">
        <v>211</v>
      </c>
      <c r="F179" s="11" t="s">
        <v>215</v>
      </c>
      <c r="G179" s="13" t="n">
        <v>2401.32</v>
      </c>
      <c r="H179" s="12" t="n">
        <v>17</v>
      </c>
      <c r="I179" s="13" t="n">
        <v>0</v>
      </c>
      <c r="J179" s="13" t="n">
        <v>0</v>
      </c>
      <c r="K179" s="13" t="n">
        <v>112.71</v>
      </c>
      <c r="L179" s="13" t="n">
        <v>10237.34</v>
      </c>
      <c r="M179" s="11" t="s">
        <v>254</v>
      </c>
      <c r="N179" s="11"/>
    </row>
    <row r="180" customFormat="false" ht="20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8" t="n">
        <f aca="false">SUM('C2. Sin condicion TDI'!I163:I179)</f>
        <v>0</v>
      </c>
      <c r="J180" s="18" t="n">
        <f aca="false">SUM('C2. Sin condicion TDI'!J163:J179)</f>
        <v>0</v>
      </c>
      <c r="K180" s="18" t="n">
        <v>237.34</v>
      </c>
      <c r="L180" s="18" t="n">
        <v>10237.34</v>
      </c>
      <c r="M180" s="17"/>
      <c r="N180" s="17"/>
    </row>
  </sheetData>
  <mergeCells count="24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D91:N91"/>
    <mergeCell ref="D92:N92"/>
    <mergeCell ref="D93:N93"/>
    <mergeCell ref="D94:N94"/>
    <mergeCell ref="A95:C95"/>
    <mergeCell ref="D95:N95"/>
    <mergeCell ref="A96:C96"/>
    <mergeCell ref="D96:N96"/>
    <mergeCell ref="A97:C97"/>
    <mergeCell ref="D97:N97"/>
    <mergeCell ref="A98:C98"/>
    <mergeCell ref="D98:N98"/>
    <mergeCell ref="A99:N99"/>
    <mergeCell ref="A100:C100"/>
    <mergeCell ref="A101:C101"/>
    <mergeCell ref="E101:G101"/>
    <mergeCell ref="I101:K101"/>
    <mergeCell ref="L101:N101"/>
    <mergeCell ref="A102:C102"/>
    <mergeCell ref="E102:G102"/>
    <mergeCell ref="I102:K102"/>
    <mergeCell ref="L102:N102"/>
    <mergeCell ref="A103:C103"/>
    <mergeCell ref="E103:G103"/>
    <mergeCell ref="I103:K103"/>
    <mergeCell ref="L103:N103"/>
    <mergeCell ref="A104:C104"/>
    <mergeCell ref="E104:G104"/>
    <mergeCell ref="I104:K104"/>
    <mergeCell ref="L104:N104"/>
    <mergeCell ref="A106:C106"/>
    <mergeCell ref="E106:G106"/>
    <mergeCell ref="I106:K106"/>
    <mergeCell ref="L106:N106"/>
    <mergeCell ref="A107:C107"/>
    <mergeCell ref="E107:G107"/>
    <mergeCell ref="I107:K107"/>
    <mergeCell ref="L107:N107"/>
    <mergeCell ref="A108:C108"/>
    <mergeCell ref="E108:G108"/>
    <mergeCell ref="I108:K108"/>
    <mergeCell ref="L108:N108"/>
    <mergeCell ref="A109:C109"/>
    <mergeCell ref="E109:G109"/>
    <mergeCell ref="A111:C111"/>
    <mergeCell ref="E111:G111"/>
    <mergeCell ref="I111:K111"/>
    <mergeCell ref="L111:N111"/>
    <mergeCell ref="A112:C112"/>
    <mergeCell ref="E112:G112"/>
    <mergeCell ref="I112:K112"/>
    <mergeCell ref="L112:N112"/>
    <mergeCell ref="A114:C114"/>
    <mergeCell ref="E114:G114"/>
    <mergeCell ref="I114:K114"/>
    <mergeCell ref="L114:N114"/>
    <mergeCell ref="A115:C115"/>
    <mergeCell ref="E115:G115"/>
    <mergeCell ref="I115:K115"/>
    <mergeCell ref="L115:N115"/>
    <mergeCell ref="E116:G116"/>
    <mergeCell ref="I116:K116"/>
    <mergeCell ref="L116:N116"/>
    <mergeCell ref="E117:G117"/>
    <mergeCell ref="I117:K117"/>
    <mergeCell ref="L117:N117"/>
    <mergeCell ref="E118:G118"/>
    <mergeCell ref="I118:K118"/>
    <mergeCell ref="L118:N118"/>
    <mergeCell ref="E119:G119"/>
    <mergeCell ref="I119:K119"/>
    <mergeCell ref="L119:N119"/>
    <mergeCell ref="E120:G120"/>
    <mergeCell ref="I120:K120"/>
    <mergeCell ref="L120:N120"/>
    <mergeCell ref="A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A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A180:H180"/>
    <mergeCell ref="M180:N1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H1:S60"/>
  <sheetViews>
    <sheetView showFormulas="false" showGridLines="true" showRowColHeaders="true" showZeros="true" rightToLeft="false" tabSelected="true" showOutlineSymbols="true" defaultGridColor="true" view="normal" topLeftCell="I11" colorId="64" zoomScale="120" zoomScaleNormal="120" zoomScalePageLayoutView="100" workbookViewId="0">
      <selection pane="topLeft" activeCell="R48" activeCellId="0" sqref="R48"/>
    </sheetView>
  </sheetViews>
  <sheetFormatPr defaultRowHeight="12.8" zeroHeight="false" outlineLevelRow="0" outlineLevelCol="0"/>
  <cols>
    <col collapsed="false" customWidth="false" hidden="false" outlineLevel="0" max="13" min="1" style="0" width="11.52"/>
    <col collapsed="false" customWidth="true" hidden="false" outlineLevel="0" max="14" min="14" style="0" width="11.45"/>
    <col collapsed="false" customWidth="false" hidden="false" outlineLevel="0" max="1025" min="15" style="0" width="11.52"/>
  </cols>
  <sheetData>
    <row r="1" customFormat="false" ht="12.8" hidden="false" customHeight="false" outlineLevel="0" collapsed="false">
      <c r="H1" s="0" t="s">
        <v>256</v>
      </c>
      <c r="L1" s="19" t="s">
        <v>257</v>
      </c>
      <c r="M1" s="19"/>
    </row>
    <row r="2" customFormat="false" ht="12.8" hidden="false" customHeight="false" outlineLevel="0" collapsed="false">
      <c r="I2" s="0" t="s">
        <v>258</v>
      </c>
      <c r="K2" s="0" t="s">
        <v>259</v>
      </c>
      <c r="L2" s="0" t="s">
        <v>260</v>
      </c>
      <c r="M2" s="0" t="s">
        <v>261</v>
      </c>
    </row>
    <row r="3" customFormat="false" ht="12.8" hidden="false" customHeight="false" outlineLevel="0" collapsed="false">
      <c r="H3" s="0" t="s">
        <v>262</v>
      </c>
      <c r="I3" s="0" t="s">
        <v>263</v>
      </c>
      <c r="J3" s="0" t="s">
        <v>264</v>
      </c>
    </row>
    <row r="4" customFormat="false" ht="12.8" hidden="false" customHeight="false" outlineLevel="0" collapsed="false">
      <c r="H4" s="0" t="n">
        <v>1</v>
      </c>
      <c r="I4" s="0" t="n">
        <v>1</v>
      </c>
      <c r="J4" s="0" t="n">
        <v>17</v>
      </c>
      <c r="L4" s="0" t="n">
        <v>1</v>
      </c>
      <c r="M4" s="0" t="n">
        <v>1</v>
      </c>
    </row>
    <row r="5" customFormat="false" ht="12.8" hidden="false" customHeight="false" outlineLevel="0" collapsed="false">
      <c r="H5" s="0" t="n">
        <v>2</v>
      </c>
      <c r="I5" s="0" t="n">
        <v>1</v>
      </c>
      <c r="J5" s="0" t="n">
        <v>24</v>
      </c>
      <c r="K5" s="0" t="n">
        <v>1</v>
      </c>
      <c r="L5" s="0" t="s">
        <v>265</v>
      </c>
      <c r="M5" s="0" t="s">
        <v>265</v>
      </c>
    </row>
    <row r="6" customFormat="false" ht="12.8" hidden="false" customHeight="false" outlineLevel="0" collapsed="false">
      <c r="H6" s="0" t="n">
        <v>3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1</v>
      </c>
    </row>
    <row r="7" customFormat="false" ht="12.8" hidden="false" customHeight="false" outlineLevel="0" collapsed="false">
      <c r="H7" s="0" t="n">
        <v>4</v>
      </c>
      <c r="I7" s="0" t="n">
        <v>3</v>
      </c>
      <c r="J7" s="0" t="n">
        <v>5</v>
      </c>
      <c r="L7" s="0" t="n">
        <v>1</v>
      </c>
      <c r="M7" s="0" t="n">
        <v>1</v>
      </c>
    </row>
    <row r="8" customFormat="false" ht="12.8" hidden="false" customHeight="false" outlineLevel="0" collapsed="false">
      <c r="H8" s="0" t="n">
        <v>5</v>
      </c>
      <c r="I8" s="0" t="n">
        <v>3</v>
      </c>
      <c r="J8" s="0" t="n">
        <v>18</v>
      </c>
      <c r="K8" s="0" t="n">
        <v>1</v>
      </c>
      <c r="L8" s="0" t="s">
        <v>265</v>
      </c>
      <c r="M8" s="0" t="s">
        <v>265</v>
      </c>
    </row>
    <row r="9" customFormat="false" ht="12.8" hidden="false" customHeight="false" outlineLevel="0" collapsed="false">
      <c r="H9" s="0" t="n">
        <v>6</v>
      </c>
      <c r="I9" s="0" t="n">
        <v>3</v>
      </c>
      <c r="J9" s="0" t="n">
        <v>27</v>
      </c>
      <c r="L9" s="0" t="n">
        <v>1</v>
      </c>
      <c r="M9" s="0" t="n">
        <v>1</v>
      </c>
    </row>
    <row r="10" customFormat="false" ht="12.8" hidden="false" customHeight="false" outlineLevel="0" collapsed="false">
      <c r="H10" s="0" t="n">
        <v>7</v>
      </c>
      <c r="I10" s="0" t="n">
        <v>5</v>
      </c>
      <c r="J10" s="0" t="n">
        <v>17</v>
      </c>
      <c r="L10" s="0" t="n">
        <v>1</v>
      </c>
      <c r="M10" s="0" t="n">
        <v>1</v>
      </c>
    </row>
    <row r="11" customFormat="false" ht="12.8" hidden="false" customHeight="false" outlineLevel="0" collapsed="false">
      <c r="H11" s="0" t="n">
        <v>8</v>
      </c>
      <c r="I11" s="0" t="n">
        <v>5</v>
      </c>
      <c r="J11" s="0" t="n">
        <v>23</v>
      </c>
      <c r="K11" s="0" t="n">
        <v>1</v>
      </c>
      <c r="L11" s="0" t="n">
        <v>1</v>
      </c>
      <c r="M11" s="0" t="n">
        <v>1</v>
      </c>
    </row>
    <row r="12" customFormat="false" ht="12.8" hidden="false" customHeight="false" outlineLevel="0" collapsed="false">
      <c r="H12" s="0" t="n">
        <v>9</v>
      </c>
      <c r="I12" s="0" t="n">
        <v>6</v>
      </c>
      <c r="J12" s="0" t="n">
        <v>10</v>
      </c>
      <c r="K12" s="0" t="n">
        <v>1</v>
      </c>
      <c r="L12" s="0" t="n">
        <v>1</v>
      </c>
      <c r="M12" s="0" t="n">
        <v>1</v>
      </c>
    </row>
    <row r="13" customFormat="false" ht="12.8" hidden="false" customHeight="false" outlineLevel="0" collapsed="false">
      <c r="H13" s="0" t="n">
        <v>10</v>
      </c>
      <c r="I13" s="0" t="n">
        <v>7</v>
      </c>
      <c r="J13" s="0" t="n">
        <v>12</v>
      </c>
      <c r="L13" s="0" t="n">
        <v>1</v>
      </c>
      <c r="M13" s="0" t="n">
        <v>1</v>
      </c>
    </row>
    <row r="14" customFormat="false" ht="12.8" hidden="false" customHeight="false" outlineLevel="0" collapsed="false">
      <c r="J14" s="0" t="s">
        <v>266</v>
      </c>
      <c r="K14" s="20" t="n">
        <v>0.6</v>
      </c>
      <c r="L14" s="20" t="n">
        <v>0.62</v>
      </c>
      <c r="M14" s="20" t="n">
        <v>0.62</v>
      </c>
      <c r="R14" s="20"/>
      <c r="S14" s="20"/>
    </row>
    <row r="19" customFormat="false" ht="12.8" hidden="false" customHeight="false" outlineLevel="0" collapsed="false">
      <c r="J19" s="0" t="s">
        <v>267</v>
      </c>
    </row>
    <row r="20" customFormat="false" ht="12.8" hidden="false" customHeight="false" outlineLevel="0" collapsed="false">
      <c r="R20" s="0" t="s">
        <v>268</v>
      </c>
    </row>
    <row r="21" customFormat="false" ht="12.8" hidden="false" customHeight="false" outlineLevel="0" collapsed="false">
      <c r="J21" s="0" t="s">
        <v>269</v>
      </c>
    </row>
    <row r="22" customFormat="false" ht="12.8" hidden="false" customHeight="false" outlineLevel="0" collapsed="false">
      <c r="K22" s="0" t="s">
        <v>270</v>
      </c>
      <c r="L22" s="0" t="s">
        <v>271</v>
      </c>
    </row>
    <row r="23" customFormat="false" ht="12.8" hidden="false" customHeight="false" outlineLevel="0" collapsed="false">
      <c r="J23" s="0" t="s">
        <v>272</v>
      </c>
      <c r="K23" s="0" t="n">
        <v>39.625</v>
      </c>
      <c r="L23" s="0" t="n">
        <v>32.653</v>
      </c>
      <c r="M23" s="0" t="s">
        <v>273</v>
      </c>
      <c r="N23" s="0" t="n">
        <f aca="false">L23-K23</f>
        <v>-6.972</v>
      </c>
    </row>
    <row r="24" customFormat="false" ht="12.8" hidden="false" customHeight="false" outlineLevel="0" collapsed="false">
      <c r="J24" s="0" t="s">
        <v>274</v>
      </c>
      <c r="K24" s="0" t="n">
        <v>35.034</v>
      </c>
      <c r="L24" s="0" t="n">
        <v>34.043</v>
      </c>
      <c r="M24" s="0" t="s">
        <v>275</v>
      </c>
      <c r="N24" s="0" t="n">
        <f aca="false">L24-K24</f>
        <v>-0.991</v>
      </c>
    </row>
    <row r="26" customFormat="false" ht="12.8" hidden="false" customHeight="false" outlineLevel="0" collapsed="false">
      <c r="M26" s="0" t="s">
        <v>276</v>
      </c>
      <c r="N26" s="0" t="n">
        <f aca="false">(N24-N23)/(1+N23*N24)</f>
        <v>0.756202988601198</v>
      </c>
    </row>
    <row r="27" customFormat="false" ht="12.8" hidden="false" customHeight="false" outlineLevel="0" collapsed="false">
      <c r="M27" s="0" t="s">
        <v>277</v>
      </c>
      <c r="N27" s="0" t="n">
        <f aca="false">ATAN(N26)*180/PI()</f>
        <v>37.0966804700116</v>
      </c>
    </row>
    <row r="30" customFormat="false" ht="12.8" hidden="false" customHeight="false" outlineLevel="0" collapsed="false">
      <c r="M30" s="0" t="s">
        <v>277</v>
      </c>
      <c r="N30" s="0" t="n">
        <f aca="false">ATAN(N23)*180/ACOS(-1)</f>
        <v>-81.8376857420342</v>
      </c>
    </row>
    <row r="31" customFormat="false" ht="12.8" hidden="false" customHeight="false" outlineLevel="0" collapsed="false">
      <c r="M31" s="0" t="s">
        <v>277</v>
      </c>
      <c r="N31" s="0" t="n">
        <f aca="false">ATAN(N24)*180/ACOS(-1)</f>
        <v>-44.7410052720226</v>
      </c>
    </row>
    <row r="32" customFormat="false" ht="12.8" hidden="false" customHeight="false" outlineLevel="0" collapsed="false">
      <c r="M32" s="0" t="s">
        <v>278</v>
      </c>
      <c r="N32" s="0" t="n">
        <f aca="false">N31-N30</f>
        <v>37.0966804700116</v>
      </c>
    </row>
    <row r="36" customFormat="false" ht="12.8" hidden="false" customHeight="false" outlineLevel="0" collapsed="false">
      <c r="J36" s="21" t="s">
        <v>279</v>
      </c>
    </row>
    <row r="37" customFormat="false" ht="12.8" hidden="false" customHeight="false" outlineLevel="0" collapsed="false">
      <c r="K37" s="0" t="s">
        <v>270</v>
      </c>
      <c r="L37" s="0" t="s">
        <v>271</v>
      </c>
    </row>
    <row r="38" customFormat="false" ht="12.8" hidden="false" customHeight="false" outlineLevel="0" collapsed="false">
      <c r="J38" s="0" t="s">
        <v>274</v>
      </c>
      <c r="K38" s="0" t="n">
        <v>29.809</v>
      </c>
      <c r="L38" s="0" t="n">
        <v>29.012</v>
      </c>
      <c r="M38" s="0" t="s">
        <v>273</v>
      </c>
      <c r="N38" s="0" t="n">
        <f aca="false">L38-K38</f>
        <v>-0.797000000000001</v>
      </c>
    </row>
    <row r="39" customFormat="false" ht="12.8" hidden="false" customHeight="false" outlineLevel="0" collapsed="false">
      <c r="J39" s="0" t="s">
        <v>272</v>
      </c>
      <c r="K39" s="0" t="n">
        <v>24.845</v>
      </c>
      <c r="L39" s="0" t="n">
        <v>32.321</v>
      </c>
      <c r="M39" s="0" t="s">
        <v>275</v>
      </c>
      <c r="N39" s="0" t="n">
        <f aca="false">L39-K39</f>
        <v>7.476</v>
      </c>
    </row>
    <row r="41" customFormat="false" ht="12.8" hidden="false" customHeight="false" outlineLevel="0" collapsed="false">
      <c r="M41" s="0" t="s">
        <v>276</v>
      </c>
      <c r="N41" s="0" t="n">
        <f aca="false">(N39-N38)/(1+N38*N39)</f>
        <v>-1.66849119025357</v>
      </c>
    </row>
    <row r="42" customFormat="false" ht="12.8" hidden="false" customHeight="false" outlineLevel="0" collapsed="false">
      <c r="M42" s="0" t="s">
        <v>277</v>
      </c>
      <c r="N42" s="0" t="n">
        <f aca="false">ATAN(N41)*180/ACOS(-1)</f>
        <v>-59.0638929012114</v>
      </c>
      <c r="O42" s="0" t="s">
        <v>280</v>
      </c>
    </row>
    <row r="43" customFormat="false" ht="12.8" hidden="false" customHeight="false" outlineLevel="0" collapsed="false">
      <c r="M43" s="0" t="s">
        <v>281</v>
      </c>
      <c r="N43" s="0" t="n">
        <f aca="false">180+N42</f>
        <v>120.936107098789</v>
      </c>
    </row>
    <row r="45" customFormat="false" ht="12.8" hidden="false" customHeight="false" outlineLevel="0" collapsed="false">
      <c r="M45" s="0" t="s">
        <v>277</v>
      </c>
      <c r="N45" s="0" t="n">
        <f aca="false">ATAN(N38)*180/ACOS(-1)</f>
        <v>-38.5548454144145</v>
      </c>
    </row>
    <row r="46" customFormat="false" ht="12.8" hidden="false" customHeight="false" outlineLevel="0" collapsed="false">
      <c r="M46" s="0" t="s">
        <v>277</v>
      </c>
      <c r="N46" s="0" t="n">
        <f aca="false">ATAN(N39)*180/ACOS(-1)</f>
        <v>82.3812616843742</v>
      </c>
    </row>
    <row r="47" customFormat="false" ht="12.8" hidden="false" customHeight="false" outlineLevel="0" collapsed="false">
      <c r="M47" s="0" t="s">
        <v>278</v>
      </c>
      <c r="N47" s="0" t="n">
        <f aca="false">N46-N45</f>
        <v>120.936107098789</v>
      </c>
    </row>
    <row r="49" customFormat="false" ht="12.8" hidden="false" customHeight="false" outlineLevel="0" collapsed="false">
      <c r="J49" s="22" t="s">
        <v>282</v>
      </c>
    </row>
    <row r="50" customFormat="false" ht="12.8" hidden="false" customHeight="false" outlineLevel="0" collapsed="false">
      <c r="K50" s="0" t="s">
        <v>270</v>
      </c>
      <c r="L50" s="0" t="s">
        <v>271</v>
      </c>
    </row>
    <row r="51" customFormat="false" ht="12.8" hidden="false" customHeight="false" outlineLevel="0" collapsed="false">
      <c r="J51" s="0" t="s">
        <v>272</v>
      </c>
      <c r="K51" s="0" t="n">
        <v>24.845</v>
      </c>
      <c r="L51" s="0" t="n">
        <v>32.321</v>
      </c>
      <c r="M51" s="0" t="s">
        <v>273</v>
      </c>
      <c r="N51" s="0" t="n">
        <f aca="false">L51-K51</f>
        <v>7.476</v>
      </c>
    </row>
    <row r="52" customFormat="false" ht="12.8" hidden="false" customHeight="false" outlineLevel="0" collapsed="false">
      <c r="J52" s="0" t="s">
        <v>274</v>
      </c>
      <c r="K52" s="0" t="n">
        <v>29.809</v>
      </c>
      <c r="L52" s="0" t="n">
        <v>29.012</v>
      </c>
      <c r="M52" s="0" t="s">
        <v>275</v>
      </c>
      <c r="N52" s="0" t="n">
        <f aca="false">L52-K52</f>
        <v>-0.797000000000001</v>
      </c>
    </row>
    <row r="54" customFormat="false" ht="12.8" hidden="false" customHeight="false" outlineLevel="0" collapsed="false">
      <c r="M54" s="0" t="s">
        <v>276</v>
      </c>
      <c r="N54" s="0" t="n">
        <f aca="false">(N52-N51)/(1+N51*N52)</f>
        <v>1.66849119025357</v>
      </c>
    </row>
    <row r="55" customFormat="false" ht="12.8" hidden="false" customHeight="false" outlineLevel="0" collapsed="false">
      <c r="M55" s="0" t="s">
        <v>277</v>
      </c>
      <c r="N55" s="0" t="n">
        <f aca="false">ATAN(N54)*180/ACOS(-1)</f>
        <v>59.0638929012114</v>
      </c>
    </row>
    <row r="58" customFormat="false" ht="12.8" hidden="false" customHeight="false" outlineLevel="0" collapsed="false">
      <c r="M58" s="0" t="s">
        <v>277</v>
      </c>
      <c r="N58" s="0" t="n">
        <f aca="false">ATAN(N51)*180/ACOS(-1)</f>
        <v>82.3812616843742</v>
      </c>
    </row>
    <row r="59" customFormat="false" ht="12.8" hidden="false" customHeight="false" outlineLevel="0" collapsed="false">
      <c r="M59" s="0" t="s">
        <v>277</v>
      </c>
      <c r="N59" s="0" t="n">
        <f aca="false">ATAN(N52)*180/ACOS(-1)</f>
        <v>-38.5548454144145</v>
      </c>
    </row>
    <row r="60" customFormat="false" ht="12.8" hidden="false" customHeight="false" outlineLevel="0" collapsed="false">
      <c r="M60" s="0" t="s">
        <v>278</v>
      </c>
      <c r="N60" s="0" t="n">
        <f aca="false">N59-N58</f>
        <v>-120.936107098789</v>
      </c>
    </row>
  </sheetData>
  <mergeCells count="1">
    <mergeCell ref="L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2024-07-22T06:37:00Z</dcterms:created>
  <dc:creator>Pepperstone Group Limited</dc:creator>
  <dc:description>El informe de trading contiene las posiciones actuales y la exposición del cliente</dc:description>
  <dc:language>es-MX</dc:language>
  <cp:lastModifiedBy/>
  <dcterms:modified xsi:type="dcterms:W3CDTF">2024-07-22T17:59:24Z</dcterms:modified>
  <cp:revision>6</cp:revision>
  <dc:subject>61230556:Daniel Tonali Aranda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category">
    <vt:lpwstr>Reports</vt:lpwstr>
  </property>
</Properties>
</file>